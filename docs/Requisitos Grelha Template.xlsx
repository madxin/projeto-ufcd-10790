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28680" yWindow="-120" windowWidth="29040" windowHeight="15720" tabRatio="500"/>
  </bookViews>
  <sheets>
    <sheet name="Req. Funcionais (RF)" sheetId="1" r:id="rId1"/>
    <sheet name="Req. Não Funcionais (RNF)" sheetId="2" r:id="rId2"/>
    <sheet name="Resumo" sheetId="3" r:id="rId3"/>
  </sheets>
  <definedNames>
    <definedName name="_xlnm.Print_Titles" localSheetId="0">'Req. Funcionais (RF)'!$1:$4</definedName>
    <definedName name="_xlnm.Print_Titles" localSheetId="1">'Req. Não Funcionais (RNF)'!$1:$4</definedName>
  </definedName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/>
  <c r="C11"/>
  <c r="B11"/>
  <c r="C10"/>
  <c r="B10"/>
  <c r="C9"/>
  <c r="B9"/>
  <c r="C8"/>
  <c r="B8"/>
  <c r="B7"/>
  <c r="E18" i="2"/>
  <c r="E20" i="1"/>
  <c r="D6" i="3" l="1"/>
  <c r="D11"/>
  <c r="D10"/>
  <c r="D9"/>
  <c r="D8"/>
  <c r="D7"/>
</calcChain>
</file>

<file path=xl/sharedStrings.xml><?xml version="1.0" encoding="utf-8"?>
<sst xmlns="http://schemas.openxmlformats.org/spreadsheetml/2006/main" count="203" uniqueCount="147">
  <si>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</si>
  <si>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</si>
  <si>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</si>
  <si>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</si>
  <si>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</si>
  <si>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</si>
  <si>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</si>
  <si>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</si>
  <si>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</si>
  <si>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</si>
  <si>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Cliente</t>
  </si>
  <si>
    <t>Alta</t>
  </si>
  <si>
    <t>Pendente</t>
  </si>
  <si>
    <t>RF02</t>
  </si>
  <si>
    <t>Cliente / Admin</t>
  </si>
  <si>
    <t>RF03</t>
  </si>
  <si>
    <t>RF04</t>
  </si>
  <si>
    <t>RF05</t>
  </si>
  <si>
    <t>RF06</t>
  </si>
  <si>
    <t>Média</t>
  </si>
  <si>
    <t>RF07</t>
  </si>
  <si>
    <t>Administrador</t>
  </si>
  <si>
    <t>Administração</t>
  </si>
  <si>
    <t>RF08</t>
  </si>
  <si>
    <t>RF09</t>
  </si>
  <si>
    <t>RF10</t>
  </si>
  <si>
    <t>RF11</t>
  </si>
  <si>
    <t>RF12</t>
  </si>
  <si>
    <t>RF13</t>
  </si>
  <si>
    <t>RF14</t>
  </si>
  <si>
    <t>RF15</t>
  </si>
  <si>
    <t>Total de requisitos Funcionais (RF)</t>
  </si>
  <si>
    <t>Prioridade:    Alta = obrigatório para a entrega    |    Média = importante mas não crítico    |    Baixa = nice-to-have</t>
  </si>
  <si>
    <t>RNF01</t>
  </si>
  <si>
    <t>Desempenho</t>
  </si>
  <si>
    <t>Todos</t>
  </si>
  <si>
    <t>Performance</t>
  </si>
  <si>
    <t>RNF02</t>
  </si>
  <si>
    <t>Sistema</t>
  </si>
  <si>
    <t>Segurança</t>
  </si>
  <si>
    <t>RNF03</t>
  </si>
  <si>
    <t>Usabilidade</t>
  </si>
  <si>
    <t>UX</t>
  </si>
  <si>
    <t>RNF04</t>
  </si>
  <si>
    <t>Disponibilidade</t>
  </si>
  <si>
    <t>Infraestrutura</t>
  </si>
  <si>
    <t>RNF05</t>
  </si>
  <si>
    <t>Compatibilidade</t>
  </si>
  <si>
    <t>Baixa</t>
  </si>
  <si>
    <t>RNF06</t>
  </si>
  <si>
    <t>RNF07</t>
  </si>
  <si>
    <t>RNF08</t>
  </si>
  <si>
    <t>RNF09</t>
  </si>
  <si>
    <t>RNF10</t>
  </si>
  <si>
    <t>RNF11</t>
  </si>
  <si>
    <t>RNF12</t>
  </si>
  <si>
    <t>RNF13</t>
  </si>
  <si>
    <t>Total de requisitos Não Funcionais (RNF)</t>
  </si>
  <si>
    <t>UFCD 10790 — Resumo do Levantamento de Requisitos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</si>
  <si>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</si>
  <si>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</si>
  <si>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</si>
  <si>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</si>
  <si>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</si>
  <si>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</si>
  <si>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</si>
  <si>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</si>
  <si>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</si>
  <si>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</si>
  <si>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</si>
  <si>
    <t>Data: 02/06/2026    Versão: 1.0     Formador: Carlos Barata     Estado geral: Em curso</t>
  </si>
  <si>
    <t>UFCD 10790 – Levantamento de Requisitos Funcionais (RF)   |   Projeto: Bot de Discord   |   Grupo: ___________</t>
  </si>
  <si>
    <t>Atribuiçao de cargos</t>
  </si>
  <si>
    <t>Criação de tickets</t>
  </si>
  <si>
    <t>Gestão de tickets</t>
  </si>
  <si>
    <t>Candidaturas Staff</t>
  </si>
  <si>
    <t>Candidaturas Whitelist</t>
  </si>
  <si>
    <t>Aprovaçao de Candidaturas</t>
  </si>
  <si>
    <t>Registo de logs</t>
  </si>
  <si>
    <t>Base de dados</t>
  </si>
  <si>
    <t>Comandos Administrativos</t>
  </si>
  <si>
    <t>Sistema de Notificaçoes</t>
  </si>
  <si>
    <t>O sistema deve permitir a atribuição automática de cargos aos utilizadores.</t>
  </si>
  <si>
    <t>O sistema deve permitir a criação e gestão de tickets de suporte.</t>
  </si>
  <si>
    <t>O sistema deve permitir o encerramento e arquivamento de tickets.</t>
  </si>
  <si>
    <t>O sistema deve permitir a submissão de candidaturas para membros da staff.</t>
  </si>
  <si>
    <t>O sistema deve permitir a submissão de candidaturas para cargos específicos (whitelist).</t>
  </si>
  <si>
    <t>O sistema deve permitir a aprovação ou rejeição de candidaturas pela equipa de staff.</t>
  </si>
  <si>
    <t>O sistema deve registar eventos importantes em canais de logs.</t>
  </si>
  <si>
    <t>O sistema deve armazenar informações numa base de dados.</t>
  </si>
  <si>
    <t>O sistema deve disponibilizar comandos administrativos para configuração do bot.</t>
  </si>
  <si>
    <t>O sistema deve enviar notificações automáticas aos utilizadores quando ocorrerem alterações relevantes.</t>
  </si>
  <si>
    <t>UFCD 10790 – Levantamento de Requisitos Não Funcionais (RNF)   |   Projeto: Bot de Discord   |   Grupo: ___________</t>
  </si>
  <si>
    <t>Segurança de Dados</t>
  </si>
  <si>
    <t>O sistema deverá apresentar tempos de resposta inferiores a 3 segundos para operações normais.</t>
  </si>
  <si>
    <t>O sistema deverá estar disponível 24 horas por dia quando alojado num servidor.</t>
  </si>
  <si>
    <t>O sistema deverá possuir uma interface simples e intuitiva para os utilizadores.</t>
  </si>
  <si>
    <t>O sistema deverá garantir a segurança e integridade dos dados armazenados.</t>
  </si>
  <si>
    <t>Updates</t>
  </si>
  <si>
    <t>Controlo</t>
  </si>
  <si>
    <t>O sistema deverá permitir futuras expansões e novas funcionalidades.</t>
  </si>
  <si>
    <t>O sistema deverá manter registos das operações realizadas para fins de auditoria e controlo.</t>
  </si>
  <si>
    <t>O utilizador recebe automaticamente o cargo definido quando entra no servidor ou seleciona uma opção no painel de cargos.</t>
  </si>
  <si>
    <t>Ao clicar no botão "Abrir Ticket", é criado um canal privado visível apenas para o utilizador e a equipa de staff.</t>
  </si>
  <si>
    <t>A equipa de staff consegue fechar e arquivar tickets sem perda de informação.</t>
  </si>
  <si>
    <t>O utilizador consegue preencher e submeter uma candidatura para a equipa de staff.</t>
  </si>
  <si>
    <t>O utilizador consegue preencher e submeter uma candidatura para um cargo whitelist.</t>
  </si>
  <si>
    <t>A equipa de staff consegue aprovar ou rejeitar candidaturas através de comandos ou botões.</t>
  </si>
  <si>
    <t>Todas as ações importantes (tickets, candidaturas, cargos) ficam registadas num canal de logs.</t>
  </si>
  <si>
    <t>Os dados permanecem guardados após reiniciar o bot.</t>
  </si>
  <si>
    <t>Os administradores conseguem configurar o bot através de comandos administrativos.</t>
  </si>
  <si>
    <t>O utilizador recebe uma mensagem de confirmação sempre que uma candidatura ou ticket sofre alterações..</t>
  </si>
  <si>
    <t>Gestão de Cargos</t>
  </si>
  <si>
    <t>Tickets</t>
  </si>
  <si>
    <t>Candidaturas</t>
  </si>
  <si>
    <t>Logs</t>
  </si>
  <si>
    <t>Base de Dados</t>
  </si>
  <si>
    <t>Notificações</t>
  </si>
  <si>
    <t>Apenas cargos configurados pelos administradores podem ser atribuídos automaticamente.</t>
  </si>
  <si>
    <t>Cada utilizador pode ter um número limitado de tickets abertos simultaneamente.</t>
  </si>
  <si>
    <t>Apenas membros da staff podem encerrar ou arquivar tickets.</t>
  </si>
  <si>
    <t>O formulário deve conter perguntas definidas pelos administradores.</t>
  </si>
  <si>
    <t>Cada candidatura deve ficar associada ao utilizador que a submeteu.</t>
  </si>
  <si>
    <t>Apenas utilizadores com permissões específicas podem aprovar ou rejeitar candidaturas.</t>
  </si>
  <si>
    <t>Os logs não devem poder ser alterados pelos utilizadores comuns.</t>
  </si>
  <si>
    <t>Os dados devem ser preservados após reinício do bot.</t>
  </si>
  <si>
    <t>O acesso deve estar restrito a administradores do servidor</t>
  </si>
  <si>
    <t>As notificações devem ser enviadas automaticamente sempre que ocorrer uma alteração relevante.</t>
  </si>
  <si>
    <t>Sistema / Cliente</t>
  </si>
  <si>
    <t>O sistema deverá funcionar corretamente nas versões desktop e móvel do Discord</t>
  </si>
  <si>
    <t>As funcionalidades principais podem ser utilizadas através da aplicação desktop e móvel do Discord</t>
  </si>
  <si>
    <t>Os comandos respondem em menos de 3 segundos em condições normais de utilização.</t>
  </si>
  <si>
    <t>Manutenção</t>
  </si>
  <si>
    <t>Auditoria</t>
  </si>
  <si>
    <t>Apenas utilizadores autorizados conseguem aceder a informações administrativas.</t>
  </si>
  <si>
    <t>Um novo utilizador consegue abrir um ticket ou candidatura sem necessitar de ajuda externa.</t>
  </si>
  <si>
    <t>O bot mantém-se operacional durante o período de avaliação do projeto.</t>
  </si>
  <si>
    <t>Novas funcionalidades podem ser adicionadas sem alterar a estrutura principal do sistema.</t>
  </si>
  <si>
    <t>Todas as ações importantes ficam registadas em canais de logs.</t>
  </si>
  <si>
    <t>Compatível com desktop e aplicação móvel Discord.</t>
  </si>
  <si>
    <t>Testar com vários utilizadores e tickets ativos.</t>
  </si>
  <si>
    <t>Utilizar permissões do Discord e validação de cargos.</t>
  </si>
  <si>
    <t>Interface simples com botões e menus.</t>
  </si>
  <si>
    <t>Recomendado alojamento contínuo.</t>
  </si>
  <si>
    <t>Projeto organizado por módulos (tickets, logs, cargos, etc.).</t>
  </si>
  <si>
    <t>Facilita auditoria e resolução de problemas.</t>
  </si>
  <si>
    <t>Projeto: Bot de Discord   |   Grupo: ___________   |   Data: 02/06/2026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</si>
</sst>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4D26"/>
      <name val="Arial"/>
      <charset val="1"/>
    </font>
    <font>
      <b/>
      <sz val="10"/>
      <color rgb="FFFFFFFF"/>
      <name val="Arial"/>
      <charset val="1"/>
    </font>
    <font>
      <b/>
      <sz val="10"/>
      <color rgb="FF004D26"/>
      <name val="Arial"/>
      <charset val="1"/>
    </font>
    <font>
      <sz val="10"/>
      <color rgb="FF1A1A1A"/>
      <name val="Arial"/>
      <charset val="1"/>
    </font>
    <font>
      <b/>
      <sz val="10"/>
      <color rgb="FFB71C1C"/>
      <name val="Arial"/>
      <charset val="1"/>
    </font>
    <font>
      <sz val="10"/>
      <color rgb="FF555555"/>
      <name val="Arial"/>
      <charset val="1"/>
    </font>
    <font>
      <b/>
      <sz val="10"/>
      <color rgb="FFE65100"/>
      <name val="Arial"/>
      <charset val="1"/>
    </font>
    <font>
      <b/>
      <i/>
      <sz val="10"/>
      <color rgb="FF004D26"/>
      <name val="Arial"/>
      <charset val="1"/>
    </font>
    <font>
      <i/>
      <sz val="10"/>
      <color rgb="FFAAAAAA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A148C"/>
      <name val="Arial"/>
      <charset val="1"/>
    </font>
    <font>
      <b/>
      <sz val="10"/>
      <color rgb="FF4A148C"/>
      <name val="Arial"/>
      <charset val="1"/>
    </font>
    <font>
      <b/>
      <i/>
      <sz val="10"/>
      <color rgb="FF4A148C"/>
      <name val="Arial"/>
      <charset val="1"/>
    </font>
    <font>
      <b/>
      <sz val="14"/>
      <color rgb="FFFFFFFF"/>
      <name val="Arial"/>
      <charset val="1"/>
    </font>
    <font>
      <i/>
      <sz val="10"/>
      <color rgb="FF004D26"/>
      <name val="Arial"/>
      <charset val="1"/>
    </font>
    <font>
      <b/>
      <sz val="11"/>
      <color rgb="FF004D26"/>
      <name val="Arial"/>
      <charset val="1"/>
    </font>
    <font>
      <sz val="11"/>
      <color rgb="FF004D26"/>
      <name val="Arial"/>
      <charset val="1"/>
    </font>
    <font>
      <sz val="11"/>
      <color rgb="FF4A148C"/>
      <name val="Arial"/>
      <charset val="1"/>
    </font>
    <font>
      <sz val="10"/>
      <name val="Arial"/>
      <family val="2"/>
    </font>
    <font>
      <sz val="10"/>
      <color rgb="FF1A1A1A"/>
      <name val="Arial"/>
      <family val="2"/>
    </font>
    <font>
      <b/>
      <sz val="10"/>
      <color rgb="FF004D26"/>
      <name val="Arial"/>
      <family val="2"/>
    </font>
    <font>
      <i/>
      <sz val="10"/>
      <color rgb="FF004D26"/>
      <name val="Arial"/>
      <family val="2"/>
    </font>
    <font>
      <b/>
      <sz val="11"/>
      <color rgb="FF4A148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</fills>
  <borders count="6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left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21" fillId="4" borderId="3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vertical="center" wrapText="1"/>
    </xf>
    <xf numFmtId="0" fontId="25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333300"/>
      <rgbColor rgb="FFB71C1C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2"/>
  <sheetViews>
    <sheetView showGridLines="0" tabSelected="1" zoomScaleNormal="100" workbookViewId="0">
      <pane ySplit="4" topLeftCell="A5" activePane="bottomLeft" state="frozen"/>
      <selection pane="bottomLeft" activeCell="C16" sqref="C16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0.85546875" customWidth="1"/>
    <col min="8" max="8" width="28" customWidth="1"/>
    <col min="9" max="9" width="16" customWidth="1"/>
  </cols>
  <sheetData>
    <row r="1" spans="1:9" ht="25.5" customHeight="1">
      <c r="A1" s="32" t="s">
        <v>71</v>
      </c>
      <c r="B1" s="32"/>
      <c r="C1" s="32"/>
      <c r="D1" s="32"/>
      <c r="E1" s="32"/>
      <c r="F1" s="32"/>
      <c r="G1" s="32"/>
      <c r="H1" s="32"/>
      <c r="I1" s="32"/>
    </row>
    <row r="2" spans="1:9" ht="18" customHeight="1">
      <c r="A2" s="33" t="s">
        <v>70</v>
      </c>
      <c r="B2" s="33"/>
      <c r="C2" s="33"/>
      <c r="D2" s="33"/>
      <c r="E2" s="33"/>
      <c r="F2" s="33"/>
      <c r="G2" s="33"/>
      <c r="H2" s="33"/>
      <c r="I2" s="33"/>
    </row>
    <row r="3" spans="1:9" ht="6" customHeight="1"/>
    <row r="4" spans="1:9" ht="21.7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51">
      <c r="A5" s="2" t="s">
        <v>9</v>
      </c>
      <c r="B5" s="3" t="s">
        <v>72</v>
      </c>
      <c r="C5" s="3" t="s">
        <v>82</v>
      </c>
      <c r="D5" s="4" t="s">
        <v>10</v>
      </c>
      <c r="E5" s="5" t="s">
        <v>11</v>
      </c>
      <c r="F5" s="6" t="s">
        <v>12</v>
      </c>
      <c r="G5" s="43" t="s">
        <v>102</v>
      </c>
      <c r="H5" s="43" t="s">
        <v>118</v>
      </c>
      <c r="I5" s="42" t="s">
        <v>112</v>
      </c>
    </row>
    <row r="6" spans="1:9" ht="38.25">
      <c r="A6" s="7" t="s">
        <v>13</v>
      </c>
      <c r="B6" s="8" t="s">
        <v>73</v>
      </c>
      <c r="C6" s="8" t="s">
        <v>83</v>
      </c>
      <c r="D6" s="9" t="s">
        <v>14</v>
      </c>
      <c r="E6" s="5" t="s">
        <v>11</v>
      </c>
      <c r="F6" s="6" t="s">
        <v>12</v>
      </c>
      <c r="G6" s="44" t="s">
        <v>103</v>
      </c>
      <c r="H6" s="44" t="s">
        <v>119</v>
      </c>
      <c r="I6" s="46" t="s">
        <v>113</v>
      </c>
    </row>
    <row r="7" spans="1:9" ht="38.25">
      <c r="A7" s="2" t="s">
        <v>15</v>
      </c>
      <c r="B7" s="3" t="s">
        <v>74</v>
      </c>
      <c r="C7" s="3" t="s">
        <v>84</v>
      </c>
      <c r="D7" s="42" t="s">
        <v>21</v>
      </c>
      <c r="E7" s="5" t="s">
        <v>11</v>
      </c>
      <c r="F7" s="6" t="s">
        <v>12</v>
      </c>
      <c r="G7" s="43" t="s">
        <v>104</v>
      </c>
      <c r="H7" s="43" t="s">
        <v>120</v>
      </c>
      <c r="I7" s="42" t="s">
        <v>113</v>
      </c>
    </row>
    <row r="8" spans="1:9" ht="38.25">
      <c r="A8" s="45" t="s">
        <v>16</v>
      </c>
      <c r="B8" s="8" t="s">
        <v>75</v>
      </c>
      <c r="C8" s="8" t="s">
        <v>85</v>
      </c>
      <c r="D8" s="9" t="s">
        <v>10</v>
      </c>
      <c r="E8" s="5" t="s">
        <v>11</v>
      </c>
      <c r="F8" s="6" t="s">
        <v>12</v>
      </c>
      <c r="G8" s="44" t="s">
        <v>105</v>
      </c>
      <c r="H8" s="44" t="s">
        <v>121</v>
      </c>
      <c r="I8" s="46" t="s">
        <v>114</v>
      </c>
    </row>
    <row r="9" spans="1:9" ht="38.25">
      <c r="A9" s="2" t="s">
        <v>17</v>
      </c>
      <c r="B9" s="3" t="s">
        <v>76</v>
      </c>
      <c r="C9" s="3" t="s">
        <v>86</v>
      </c>
      <c r="D9" s="4" t="s">
        <v>10</v>
      </c>
      <c r="E9" s="5" t="s">
        <v>11</v>
      </c>
      <c r="F9" s="6" t="s">
        <v>12</v>
      </c>
      <c r="G9" s="43" t="s">
        <v>106</v>
      </c>
      <c r="H9" s="43" t="s">
        <v>122</v>
      </c>
      <c r="I9" s="42" t="s">
        <v>114</v>
      </c>
    </row>
    <row r="10" spans="1:9" ht="38.25">
      <c r="A10" s="7" t="s">
        <v>18</v>
      </c>
      <c r="B10" s="8" t="s">
        <v>77</v>
      </c>
      <c r="C10" s="8" t="s">
        <v>87</v>
      </c>
      <c r="D10" s="46" t="s">
        <v>21</v>
      </c>
      <c r="E10" s="5" t="s">
        <v>11</v>
      </c>
      <c r="F10" s="6" t="s">
        <v>12</v>
      </c>
      <c r="G10" s="44" t="s">
        <v>107</v>
      </c>
      <c r="H10" s="44" t="s">
        <v>123</v>
      </c>
      <c r="I10" s="46" t="s">
        <v>22</v>
      </c>
    </row>
    <row r="11" spans="1:9" ht="38.25">
      <c r="A11" s="2" t="s">
        <v>20</v>
      </c>
      <c r="B11" s="3" t="s">
        <v>78</v>
      </c>
      <c r="C11" s="3" t="s">
        <v>88</v>
      </c>
      <c r="D11" s="42" t="s">
        <v>21</v>
      </c>
      <c r="E11" s="5" t="s">
        <v>11</v>
      </c>
      <c r="F11" s="6" t="s">
        <v>12</v>
      </c>
      <c r="G11" s="43" t="s">
        <v>108</v>
      </c>
      <c r="H11" s="43" t="s">
        <v>124</v>
      </c>
      <c r="I11" s="42" t="s">
        <v>115</v>
      </c>
    </row>
    <row r="12" spans="1:9" ht="27.75" customHeight="1">
      <c r="A12" s="11" t="s">
        <v>23</v>
      </c>
      <c r="B12" s="3" t="s">
        <v>79</v>
      </c>
      <c r="C12" s="3" t="s">
        <v>89</v>
      </c>
      <c r="D12" s="47" t="s">
        <v>38</v>
      </c>
      <c r="E12" s="5" t="s">
        <v>11</v>
      </c>
      <c r="F12" s="6" t="s">
        <v>12</v>
      </c>
      <c r="G12" s="41" t="s">
        <v>109</v>
      </c>
      <c r="H12" s="41" t="s">
        <v>125</v>
      </c>
      <c r="I12" s="47" t="s">
        <v>116</v>
      </c>
    </row>
    <row r="13" spans="1:9" ht="25.5">
      <c r="A13" s="11" t="s">
        <v>24</v>
      </c>
      <c r="B13" s="3" t="s">
        <v>80</v>
      </c>
      <c r="C13" s="3" t="s">
        <v>90</v>
      </c>
      <c r="D13" s="48" t="s">
        <v>21</v>
      </c>
      <c r="E13" s="10" t="s">
        <v>19</v>
      </c>
      <c r="F13" s="6" t="s">
        <v>12</v>
      </c>
      <c r="G13" s="41" t="s">
        <v>110</v>
      </c>
      <c r="H13" s="49" t="s">
        <v>126</v>
      </c>
      <c r="I13" s="48" t="s">
        <v>22</v>
      </c>
    </row>
    <row r="14" spans="1:9" ht="51">
      <c r="A14" s="11" t="s">
        <v>25</v>
      </c>
      <c r="B14" s="3" t="s">
        <v>81</v>
      </c>
      <c r="C14" s="3" t="s">
        <v>91</v>
      </c>
      <c r="D14" s="47" t="s">
        <v>128</v>
      </c>
      <c r="E14" s="10" t="s">
        <v>19</v>
      </c>
      <c r="F14" s="6" t="s">
        <v>12</v>
      </c>
      <c r="G14" s="41" t="s">
        <v>111</v>
      </c>
      <c r="H14" s="41" t="s">
        <v>127</v>
      </c>
      <c r="I14" s="47" t="s">
        <v>117</v>
      </c>
    </row>
    <row r="15" spans="1:9" ht="27.75" customHeight="1">
      <c r="A15" s="11" t="s">
        <v>26</v>
      </c>
      <c r="B15" s="14"/>
      <c r="C15" s="14"/>
      <c r="D15" s="15"/>
      <c r="E15" s="15"/>
      <c r="F15" s="15"/>
      <c r="G15" s="14"/>
      <c r="H15" s="14"/>
      <c r="I15" s="15"/>
    </row>
    <row r="16" spans="1:9" ht="27.75" customHeight="1">
      <c r="A16" s="11" t="s">
        <v>27</v>
      </c>
      <c r="B16" s="12"/>
      <c r="C16" s="12"/>
      <c r="D16" s="13"/>
      <c r="E16" s="13"/>
      <c r="F16" s="13"/>
      <c r="G16" s="12"/>
      <c r="H16" s="12"/>
      <c r="I16" s="13"/>
    </row>
    <row r="17" spans="1:9" ht="27.75" customHeight="1">
      <c r="A17" s="11" t="s">
        <v>28</v>
      </c>
      <c r="B17" s="14"/>
      <c r="C17" s="14"/>
      <c r="D17" s="15"/>
      <c r="E17" s="15"/>
      <c r="F17" s="15"/>
      <c r="G17" s="14"/>
      <c r="H17" s="14"/>
      <c r="I17" s="15"/>
    </row>
    <row r="18" spans="1:9" ht="27.75" customHeight="1">
      <c r="A18" s="11" t="s">
        <v>29</v>
      </c>
      <c r="B18" s="12"/>
      <c r="C18" s="12"/>
      <c r="D18" s="13"/>
      <c r="E18" s="13"/>
      <c r="F18" s="13"/>
      <c r="G18" s="12"/>
      <c r="H18" s="12"/>
      <c r="I18" s="13"/>
    </row>
    <row r="19" spans="1:9" ht="27.75" customHeight="1">
      <c r="A19" s="11" t="s">
        <v>30</v>
      </c>
      <c r="B19" s="14"/>
      <c r="C19" s="14"/>
      <c r="D19" s="15"/>
      <c r="E19" s="15"/>
      <c r="F19" s="15"/>
      <c r="G19" s="14"/>
      <c r="H19" s="14"/>
      <c r="I19" s="15"/>
    </row>
    <row r="20" spans="1:9" ht="19.5" customHeight="1">
      <c r="A20" s="34" t="s">
        <v>31</v>
      </c>
      <c r="B20" s="34"/>
      <c r="C20" s="34"/>
      <c r="D20" s="34"/>
      <c r="E20" s="16">
        <f>COUNTA(A5:A19)</f>
        <v>15</v>
      </c>
      <c r="F20" s="17"/>
      <c r="G20" s="17"/>
      <c r="H20" s="17"/>
      <c r="I20" s="17"/>
    </row>
    <row r="22" spans="1:9" ht="18" customHeight="1">
      <c r="A22" s="35" t="s">
        <v>32</v>
      </c>
      <c r="B22" s="35"/>
      <c r="C22" s="35"/>
      <c r="D22" s="35"/>
      <c r="E22" s="35"/>
      <c r="F22" s="35"/>
      <c r="G22" s="35"/>
      <c r="H22" s="35"/>
      <c r="I22" s="35"/>
    </row>
  </sheetData>
  <mergeCells count="4">
    <mergeCell ref="A1:I1"/>
    <mergeCell ref="A2:I2"/>
    <mergeCell ref="A20:D20"/>
    <mergeCell ref="A22:I22"/>
  </mergeCells>
  <dataValidations count="2">
    <dataValidation type="list" sqref="E5:E19">
      <formula1>"Alta,Média,Baixa"</formula1>
      <formula2>0</formula2>
    </dataValidation>
    <dataValidation type="list" sqref="F5:F19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zoomScaleNormal="100" workbookViewId="0">
      <pane ySplit="4" topLeftCell="A5" activePane="bottomLeft" state="frozen"/>
      <selection pane="bottomLeft" activeCell="D13" sqref="D13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8.7109375" customWidth="1"/>
    <col min="8" max="8" width="28" customWidth="1"/>
    <col min="9" max="9" width="16" customWidth="1"/>
  </cols>
  <sheetData>
    <row r="1" spans="1:9" ht="25.5" customHeight="1">
      <c r="A1" s="36" t="s">
        <v>92</v>
      </c>
      <c r="B1" s="36"/>
      <c r="C1" s="36"/>
      <c r="D1" s="36"/>
      <c r="E1" s="36"/>
      <c r="F1" s="36"/>
      <c r="G1" s="36"/>
      <c r="H1" s="36"/>
      <c r="I1" s="36"/>
    </row>
    <row r="2" spans="1:9" ht="18" customHeight="1">
      <c r="A2" s="37" t="s">
        <v>70</v>
      </c>
      <c r="B2" s="37"/>
      <c r="C2" s="37"/>
      <c r="D2" s="37"/>
      <c r="E2" s="37"/>
      <c r="F2" s="37"/>
      <c r="G2" s="37"/>
      <c r="H2" s="37"/>
      <c r="I2" s="37"/>
    </row>
    <row r="3" spans="1:9" ht="6" customHeight="1"/>
    <row r="4" spans="1:9" ht="21.75" customHeight="1">
      <c r="A4" s="18" t="s">
        <v>0</v>
      </c>
      <c r="B4" s="18" t="s">
        <v>1</v>
      </c>
      <c r="C4" s="18" t="s">
        <v>2</v>
      </c>
      <c r="D4" s="18" t="s">
        <v>3</v>
      </c>
      <c r="E4" s="18" t="s">
        <v>4</v>
      </c>
      <c r="F4" s="18" t="s">
        <v>5</v>
      </c>
      <c r="G4" s="18" t="s">
        <v>6</v>
      </c>
      <c r="H4" s="18" t="s">
        <v>7</v>
      </c>
      <c r="I4" s="18" t="s">
        <v>8</v>
      </c>
    </row>
    <row r="5" spans="1:9" ht="38.25">
      <c r="A5" s="19" t="s">
        <v>33</v>
      </c>
      <c r="B5" s="3" t="s">
        <v>34</v>
      </c>
      <c r="C5" s="3" t="s">
        <v>94</v>
      </c>
      <c r="D5" s="4" t="s">
        <v>35</v>
      </c>
      <c r="E5" s="5" t="s">
        <v>11</v>
      </c>
      <c r="F5" s="6" t="s">
        <v>12</v>
      </c>
      <c r="G5" s="43" t="s">
        <v>131</v>
      </c>
      <c r="H5" s="43" t="s">
        <v>140</v>
      </c>
      <c r="I5" s="4" t="s">
        <v>36</v>
      </c>
    </row>
    <row r="6" spans="1:9" ht="25.5">
      <c r="A6" s="20" t="s">
        <v>37</v>
      </c>
      <c r="B6" s="8" t="s">
        <v>93</v>
      </c>
      <c r="C6" s="8" t="s">
        <v>97</v>
      </c>
      <c r="D6" s="9" t="s">
        <v>38</v>
      </c>
      <c r="E6" s="5" t="s">
        <v>11</v>
      </c>
      <c r="F6" s="6" t="s">
        <v>12</v>
      </c>
      <c r="G6" s="44" t="s">
        <v>134</v>
      </c>
      <c r="H6" s="44" t="s">
        <v>141</v>
      </c>
      <c r="I6" s="9" t="s">
        <v>39</v>
      </c>
    </row>
    <row r="7" spans="1:9" ht="25.5">
      <c r="A7" s="19" t="s">
        <v>40</v>
      </c>
      <c r="B7" s="3" t="s">
        <v>41</v>
      </c>
      <c r="C7" s="3" t="s">
        <v>96</v>
      </c>
      <c r="D7" s="4" t="s">
        <v>10</v>
      </c>
      <c r="E7" s="5" t="s">
        <v>11</v>
      </c>
      <c r="F7" s="6" t="s">
        <v>12</v>
      </c>
      <c r="G7" s="43" t="s">
        <v>135</v>
      </c>
      <c r="H7" s="43" t="s">
        <v>142</v>
      </c>
      <c r="I7" s="4" t="s">
        <v>42</v>
      </c>
    </row>
    <row r="8" spans="1:9" ht="30" customHeight="1">
      <c r="A8" s="20" t="s">
        <v>43</v>
      </c>
      <c r="B8" s="8" t="s">
        <v>44</v>
      </c>
      <c r="C8" s="8" t="s">
        <v>95</v>
      </c>
      <c r="D8" s="9" t="s">
        <v>35</v>
      </c>
      <c r="E8" s="10" t="s">
        <v>19</v>
      </c>
      <c r="F8" s="6" t="s">
        <v>12</v>
      </c>
      <c r="G8" s="44" t="s">
        <v>136</v>
      </c>
      <c r="H8" s="44" t="s">
        <v>143</v>
      </c>
      <c r="I8" s="9" t="s">
        <v>45</v>
      </c>
    </row>
    <row r="9" spans="1:9" ht="30" customHeight="1">
      <c r="A9" s="19" t="s">
        <v>46</v>
      </c>
      <c r="B9" s="3" t="s">
        <v>47</v>
      </c>
      <c r="C9" s="43" t="s">
        <v>129</v>
      </c>
      <c r="D9" s="4" t="s">
        <v>35</v>
      </c>
      <c r="E9" s="21" t="s">
        <v>48</v>
      </c>
      <c r="F9" s="6" t="s">
        <v>12</v>
      </c>
      <c r="G9" s="43" t="s">
        <v>130</v>
      </c>
      <c r="H9" s="43" t="s">
        <v>139</v>
      </c>
      <c r="I9" s="4" t="s">
        <v>47</v>
      </c>
    </row>
    <row r="10" spans="1:9" ht="27.75" customHeight="1">
      <c r="A10" s="22" t="s">
        <v>49</v>
      </c>
      <c r="B10" s="3" t="s">
        <v>98</v>
      </c>
      <c r="C10" s="43" t="s">
        <v>100</v>
      </c>
      <c r="D10" s="47" t="s">
        <v>21</v>
      </c>
      <c r="E10" s="10" t="s">
        <v>19</v>
      </c>
      <c r="F10" s="6" t="s">
        <v>12</v>
      </c>
      <c r="G10" s="41" t="s">
        <v>137</v>
      </c>
      <c r="H10" s="41" t="s">
        <v>144</v>
      </c>
      <c r="I10" s="47" t="s">
        <v>132</v>
      </c>
    </row>
    <row r="11" spans="1:9" ht="27.75" customHeight="1">
      <c r="A11" s="22" t="s">
        <v>50</v>
      </c>
      <c r="B11" s="3" t="s">
        <v>99</v>
      </c>
      <c r="C11" s="3" t="s">
        <v>101</v>
      </c>
      <c r="D11" s="48" t="s">
        <v>21</v>
      </c>
      <c r="E11" s="10" t="s">
        <v>19</v>
      </c>
      <c r="F11" s="6" t="s">
        <v>12</v>
      </c>
      <c r="G11" s="49" t="s">
        <v>138</v>
      </c>
      <c r="H11" s="49" t="s">
        <v>145</v>
      </c>
      <c r="I11" s="48" t="s">
        <v>133</v>
      </c>
    </row>
    <row r="12" spans="1:9" ht="27.75" customHeight="1">
      <c r="A12" s="22" t="s">
        <v>51</v>
      </c>
      <c r="B12" s="12"/>
      <c r="C12" s="12"/>
      <c r="D12" s="13"/>
      <c r="E12" s="13"/>
      <c r="F12" s="13"/>
      <c r="G12" s="12"/>
      <c r="H12" s="12"/>
      <c r="I12" s="13"/>
    </row>
    <row r="13" spans="1:9" ht="27.75" customHeight="1">
      <c r="A13" s="22" t="s">
        <v>52</v>
      </c>
      <c r="B13" s="14"/>
      <c r="C13" s="14"/>
      <c r="D13" s="15"/>
      <c r="E13" s="15"/>
      <c r="F13" s="15"/>
      <c r="G13" s="14"/>
      <c r="H13" s="14"/>
      <c r="I13" s="15"/>
    </row>
    <row r="14" spans="1:9" ht="27.75" customHeight="1">
      <c r="A14" s="22" t="s">
        <v>53</v>
      </c>
      <c r="B14" s="12"/>
      <c r="C14" s="12"/>
      <c r="D14" s="13"/>
      <c r="E14" s="13"/>
      <c r="F14" s="13"/>
      <c r="G14" s="12"/>
      <c r="H14" s="12"/>
      <c r="I14" s="13"/>
    </row>
    <row r="15" spans="1:9" ht="27.75" customHeight="1">
      <c r="A15" s="22" t="s">
        <v>54</v>
      </c>
      <c r="B15" s="14"/>
      <c r="C15" s="14"/>
      <c r="D15" s="15"/>
      <c r="E15" s="15"/>
      <c r="F15" s="15"/>
      <c r="G15" s="14"/>
      <c r="H15" s="14"/>
      <c r="I15" s="15"/>
    </row>
    <row r="16" spans="1:9" ht="27.75" customHeight="1">
      <c r="A16" s="22" t="s">
        <v>55</v>
      </c>
      <c r="B16" s="12"/>
      <c r="C16" s="12"/>
      <c r="D16" s="13"/>
      <c r="E16" s="13"/>
      <c r="F16" s="13"/>
      <c r="G16" s="12"/>
      <c r="H16" s="12"/>
      <c r="I16" s="13"/>
    </row>
    <row r="17" spans="1:9" ht="27.75" customHeight="1">
      <c r="A17" s="22" t="s">
        <v>56</v>
      </c>
      <c r="B17" s="14"/>
      <c r="C17" s="14"/>
      <c r="D17" s="15"/>
      <c r="E17" s="15"/>
      <c r="F17" s="15"/>
      <c r="G17" s="14"/>
      <c r="H17" s="14"/>
      <c r="I17" s="15"/>
    </row>
    <row r="18" spans="1:9" ht="19.5" customHeight="1">
      <c r="A18" s="38" t="s">
        <v>57</v>
      </c>
      <c r="B18" s="38"/>
      <c r="C18" s="38"/>
      <c r="D18" s="38"/>
      <c r="E18" s="23">
        <f>COUNTA(A5:A17)</f>
        <v>13</v>
      </c>
      <c r="F18" s="24"/>
      <c r="G18" s="24"/>
      <c r="H18" s="24"/>
      <c r="I18" s="24"/>
    </row>
    <row r="20" spans="1:9" ht="18" customHeight="1">
      <c r="A20" s="35" t="s">
        <v>32</v>
      </c>
      <c r="B20" s="35"/>
      <c r="C20" s="35"/>
      <c r="D20" s="35"/>
      <c r="E20" s="35"/>
      <c r="F20" s="35"/>
      <c r="G20" s="35"/>
      <c r="H20" s="35"/>
      <c r="I20" s="35"/>
    </row>
  </sheetData>
  <mergeCells count="4">
    <mergeCell ref="A1:I1"/>
    <mergeCell ref="A2:I2"/>
    <mergeCell ref="A18:D18"/>
    <mergeCell ref="A20:I20"/>
  </mergeCells>
  <dataValidations count="2">
    <dataValidation type="list" sqref="E5:E17">
      <formula1>"Alta,Média,Baixa"</formula1>
      <formula2>0</formula2>
    </dataValidation>
    <dataValidation type="list" sqref="F5:F17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showGridLines="0" zoomScaleNormal="100" workbookViewId="0">
      <selection activeCell="B10" sqref="B10"/>
    </sheetView>
  </sheetViews>
  <sheetFormatPr defaultColWidth="8.7109375" defaultRowHeight="15"/>
  <cols>
    <col min="1" max="1" width="30" customWidth="1"/>
    <col min="2" max="5" width="18" customWidth="1"/>
  </cols>
  <sheetData>
    <row r="1" spans="1:5" ht="30" customHeight="1">
      <c r="A1" s="39" t="s">
        <v>58</v>
      </c>
      <c r="B1" s="39"/>
      <c r="C1" s="39"/>
      <c r="D1" s="39"/>
      <c r="E1" s="39"/>
    </row>
    <row r="2" spans="1:5" ht="18" customHeight="1">
      <c r="A2" s="50" t="s">
        <v>146</v>
      </c>
      <c r="B2" s="40"/>
      <c r="C2" s="40"/>
      <c r="D2" s="40"/>
      <c r="E2" s="40"/>
    </row>
    <row r="3" spans="1:5" ht="9.75" customHeight="1"/>
    <row r="4" spans="1:5" ht="19.5" customHeight="1">
      <c r="A4" s="1" t="s">
        <v>59</v>
      </c>
      <c r="B4" s="1" t="s">
        <v>60</v>
      </c>
      <c r="C4" s="1" t="s">
        <v>61</v>
      </c>
      <c r="D4" s="1" t="s">
        <v>62</v>
      </c>
      <c r="E4" s="1"/>
    </row>
    <row r="5" spans="1:5" ht="21.75" customHeight="1">
      <c r="A5" s="25" t="s">
        <v>63</v>
      </c>
      <c r="B5" s="26">
        <v>10</v>
      </c>
      <c r="C5" s="51">
        <v>7</v>
      </c>
      <c r="D5" s="26">
        <f>B5+C5</f>
        <v>17</v>
      </c>
      <c r="E5" s="27"/>
    </row>
    <row r="6" spans="1:5" ht="21.75" customHeight="1">
      <c r="A6" s="28" t="s">
        <v>64</v>
      </c>
      <c r="B6" s="29">
        <v>8</v>
      </c>
      <c r="C6" s="30">
        <v>3</v>
      </c>
      <c r="D6" s="31">
        <f t="shared" ref="D5:D11" si="0">B6+C6</f>
        <v>11</v>
      </c>
      <c r="E6" s="27"/>
    </row>
    <row r="7" spans="1:5" ht="21.75" customHeight="1">
      <c r="A7" s="28" t="s">
        <v>65</v>
      </c>
      <c r="B7" s="29">
        <f>COUNTIF('Req. Funcionais (RF)'!E5:E19,"Média")</f>
        <v>2</v>
      </c>
      <c r="C7" s="30">
        <v>3</v>
      </c>
      <c r="D7" s="31">
        <f t="shared" si="0"/>
        <v>5</v>
      </c>
      <c r="E7" s="27"/>
    </row>
    <row r="8" spans="1:5" ht="21.75" customHeight="1">
      <c r="A8" s="28" t="s">
        <v>66</v>
      </c>
      <c r="B8" s="29">
        <f>COUNTIF('Req. Funcionais (RF)'!E5:E19,"Baixa")</f>
        <v>0</v>
      </c>
      <c r="C8" s="30">
        <f>COUNTIF('Req. Não Funcionais (RNF)'!E5:E14,"Baixa")</f>
        <v>1</v>
      </c>
      <c r="D8" s="31">
        <f t="shared" si="0"/>
        <v>1</v>
      </c>
      <c r="E8" s="27"/>
    </row>
    <row r="9" spans="1:5" ht="21.75" customHeight="1">
      <c r="A9" s="28" t="s">
        <v>67</v>
      </c>
      <c r="B9" s="29">
        <f>COUNTIF('Req. Funcionais (RF)'!F5:F19,"Concluído")</f>
        <v>0</v>
      </c>
      <c r="C9" s="30">
        <f>COUNTIF('Req. Não Funcionais (RNF)'!F5:F14,"Concluído")</f>
        <v>0</v>
      </c>
      <c r="D9" s="31">
        <f t="shared" si="0"/>
        <v>0</v>
      </c>
      <c r="E9" s="27"/>
    </row>
    <row r="10" spans="1:5" ht="21.75" customHeight="1">
      <c r="A10" s="28" t="s">
        <v>68</v>
      </c>
      <c r="B10" s="29">
        <f>COUNTIF('Req. Funcionais (RF)'!F5:F19,"Pendente")</f>
        <v>10</v>
      </c>
      <c r="C10" s="30">
        <f>COUNTIF('Req. Não Funcionais (RNF)'!F5:F14,"Pendente")</f>
        <v>7</v>
      </c>
      <c r="D10" s="31">
        <f t="shared" si="0"/>
        <v>17</v>
      </c>
      <c r="E10" s="27"/>
    </row>
    <row r="11" spans="1:5" ht="21.75" customHeight="1">
      <c r="A11" s="28" t="s">
        <v>69</v>
      </c>
      <c r="B11" s="29">
        <f>COUNTIF('Req. Funcionais (RF)'!F5:F19,"Em curso")</f>
        <v>0</v>
      </c>
      <c r="C11" s="30">
        <f>COUNTIF('Req. Não Funcionais (RNF)'!F5:F14,"Em curso")</f>
        <v>0</v>
      </c>
      <c r="D11" s="31">
        <f t="shared" si="0"/>
        <v>0</v>
      </c>
      <c r="E11" s="27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Req. Funcionais (RF)</vt:lpstr>
      <vt:lpstr>Req. Não Funcionais (RNF)</vt:lpstr>
      <vt:lpstr>Resumo</vt:lpstr>
      <vt:lpstr>'Req. Funcionais (RF)'!Títulos_de_Impressão</vt:lpstr>
      <vt:lpstr>'Req. Não Funcionais (RNF)'!Títulos_de_Impressão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dc:description/>
  <cp:lastModifiedBy>Utilizador do Windows</cp:lastModifiedBy>
  <cp:revision>0</cp:revision>
  <dcterms:created xsi:type="dcterms:W3CDTF">2026-06-01T18:35:13Z</dcterms:created>
  <dcterms:modified xsi:type="dcterms:W3CDTF">2026-06-02T12:47:30Z</dcterms:modified>
  <dc:language>en-US</dc:language>
</cp:coreProperties>
</file>