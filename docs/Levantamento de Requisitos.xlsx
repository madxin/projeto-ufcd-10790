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28680" yWindow="-120" windowWidth="29040" windowHeight="15720" tabRatio="500" activeTab="1"/>
  </bookViews>
  <sheets>
    <sheet name="Req. Funcionais (RF)" sheetId="1" r:id="rId1"/>
    <sheet name="Req. Não Funcionais (RNF)" sheetId="2" r:id="rId2"/>
    <sheet name="Resumo" sheetId="3" r:id="rId3"/>
  </sheets>
  <definedNames>
    <definedName name="_xlnm.Print_Titles" localSheetId="0">'Req. Funcionais (RF)'!$1:$4</definedName>
    <definedName name="_xlnm.Print_Titles" localSheetId="1">'Req. Não Funcionais (RNF)'!$1:$4</definedName>
  </definedNames>
  <calcPr calcId="125725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3"/>
  <c r="C11"/>
  <c r="B10"/>
  <c r="C9"/>
  <c r="C8"/>
  <c r="B8"/>
  <c r="B7"/>
  <c r="E18" i="2"/>
  <c r="E20" i="1"/>
  <c r="D6" i="3" l="1"/>
  <c r="D11"/>
  <c r="D10"/>
  <c r="D9"/>
  <c r="D8"/>
  <c r="D7"/>
</calcChain>
</file>

<file path=xl/sharedStrings.xml><?xml version="1.0" encoding="utf-8"?>
<sst xmlns="http://schemas.openxmlformats.org/spreadsheetml/2006/main" count="291" uniqueCount="196">
  <si>
    <t>ID</t>
  </si>
  <si>
    <t>Nome do Requisito</t>
  </si>
  <si>
    <t>Descrição Detalhada</t>
  </si>
  <si>
    <t>Ator / Utilizador</t>
  </si>
  <si>
    <t>Prioridade</t>
  </si>
  <si>
    <t>Estado</t>
  </si>
  <si>
    <t>Critério de Aceitação</t>
  </si>
  <si>
    <t>Notas / Observações</t>
  </si>
  <si>
    <t>Módulo</t>
  </si>
  <si>
    <t>RF01</t>
  </si>
  <si>
    <t>Cliente</t>
  </si>
  <si>
    <t>Alta</t>
  </si>
  <si>
    <t>Pendente</t>
  </si>
  <si>
    <t>RF02</t>
  </si>
  <si>
    <t>Cliente / Admin</t>
  </si>
  <si>
    <t>RF03</t>
  </si>
  <si>
    <t>RF04</t>
  </si>
  <si>
    <t>RF05</t>
  </si>
  <si>
    <t>RF06</t>
  </si>
  <si>
    <t>Média</t>
  </si>
  <si>
    <t>RF07</t>
  </si>
  <si>
    <t>Administrador</t>
  </si>
  <si>
    <t>Administração</t>
  </si>
  <si>
    <t>RF08</t>
  </si>
  <si>
    <t>RF09</t>
  </si>
  <si>
    <t>RF10</t>
  </si>
  <si>
    <t>RF11</t>
  </si>
  <si>
    <t>RF12</t>
  </si>
  <si>
    <t>RF13</t>
  </si>
  <si>
    <t>RF14</t>
  </si>
  <si>
    <t>RF15</t>
  </si>
  <si>
    <t>Total de requisitos Funcionais (RF)</t>
  </si>
  <si>
    <t>Prioridade:    Alta = obrigatório para a entrega    |    Média = importante mas não crítico    |    Baixa = nice-to-have</t>
  </si>
  <si>
    <t>RNF01</t>
  </si>
  <si>
    <t>Desempenho</t>
  </si>
  <si>
    <t>Todos</t>
  </si>
  <si>
    <t>Performance</t>
  </si>
  <si>
    <t>RNF02</t>
  </si>
  <si>
    <t>Sistema</t>
  </si>
  <si>
    <t>Segurança</t>
  </si>
  <si>
    <t>RNF03</t>
  </si>
  <si>
    <t>Usabilidade</t>
  </si>
  <si>
    <t>UX</t>
  </si>
  <si>
    <t>RNF04</t>
  </si>
  <si>
    <t>Disponibilidade</t>
  </si>
  <si>
    <t>Infraestrutura</t>
  </si>
  <si>
    <t>RNF05</t>
  </si>
  <si>
    <t>Compatibilidade</t>
  </si>
  <si>
    <t>Baixa</t>
  </si>
  <si>
    <t>RNF06</t>
  </si>
  <si>
    <t>RNF07</t>
  </si>
  <si>
    <t>RNF08</t>
  </si>
  <si>
    <t>RNF09</t>
  </si>
  <si>
    <t>RNF10</t>
  </si>
  <si>
    <t>RNF11</t>
  </si>
  <si>
    <t>RNF12</t>
  </si>
  <si>
    <t>RNF13</t>
  </si>
  <si>
    <t>Total de requisitos Não Funcionais (RNF)</t>
  </si>
  <si>
    <t>UFCD 10790 — Resumo do Levantamento de Requisitos</t>
  </si>
  <si>
    <t>Indicador</t>
  </si>
  <si>
    <t>Funcionais (RF)</t>
  </si>
  <si>
    <t>Não Funcionais (RNF)</t>
  </si>
  <si>
    <t>Total</t>
  </si>
  <si>
    <t>Total de Requisitos</t>
  </si>
  <si>
    <t>Prioridade Alta</t>
  </si>
  <si>
    <t>Prioridade Média</t>
  </si>
  <si>
    <t>Prioridade Baixa</t>
  </si>
  <si>
    <t>Concluídos</t>
  </si>
  <si>
    <t>Pendentes</t>
  </si>
  <si>
    <t>Em curso</t>
  </si>
  <si>
    <t>Atribuiçao de cargos</t>
  </si>
  <si>
    <t>Criação de tickets</t>
  </si>
  <si>
    <t>Gestão de tickets</t>
  </si>
  <si>
    <t>Candidaturas Staff</t>
  </si>
  <si>
    <t>Candidaturas Whitelist</t>
  </si>
  <si>
    <t>Aprovaçao de Candidaturas</t>
  </si>
  <si>
    <t>Registo de logs</t>
  </si>
  <si>
    <t>Base de dados</t>
  </si>
  <si>
    <t>Comandos Administrativos</t>
  </si>
  <si>
    <t>Sistema de Notificaçoes</t>
  </si>
  <si>
    <t>O sistema deve permitir a atribuição automática de cargos aos utilizadores.</t>
  </si>
  <si>
    <t>O sistema deve permitir a criação e gestão de tickets de suporte.</t>
  </si>
  <si>
    <t>O sistema deve permitir o encerramento e arquivamento de tickets.</t>
  </si>
  <si>
    <t>O sistema deve permitir a submissão de candidaturas para membros da staff.</t>
  </si>
  <si>
    <t>O sistema deve permitir a submissão de candidaturas para cargos específicos (whitelist).</t>
  </si>
  <si>
    <t>O sistema deve permitir a aprovação ou rejeição de candidaturas pela equipa de staff.</t>
  </si>
  <si>
    <t>O sistema deve registar eventos importantes em canais de logs.</t>
  </si>
  <si>
    <t>O sistema deve armazenar informações numa base de dados.</t>
  </si>
  <si>
    <t>O sistema deve disponibilizar comandos administrativos para configuração do bot.</t>
  </si>
  <si>
    <t>O sistema deve enviar notificações automáticas aos utilizadores quando ocorrerem alterações relevantes.</t>
  </si>
  <si>
    <t>Segurança de Dados</t>
  </si>
  <si>
    <t>O sistema deverá apresentar tempos de resposta inferiores a 3 segundos para operações normais.</t>
  </si>
  <si>
    <t>O sistema deverá estar disponível 24 horas por dia quando alojado num servidor.</t>
  </si>
  <si>
    <t>O sistema deverá possuir uma interface simples e intuitiva para os utilizadores.</t>
  </si>
  <si>
    <t>O sistema deverá garantir a segurança e integridade dos dados armazenados.</t>
  </si>
  <si>
    <t>Updates</t>
  </si>
  <si>
    <t>Controlo</t>
  </si>
  <si>
    <t>O sistema deverá permitir futuras expansões e novas funcionalidades.</t>
  </si>
  <si>
    <t>O sistema deverá manter registos das operações realizadas para fins de auditoria e controlo.</t>
  </si>
  <si>
    <t>O utilizador recebe automaticamente o cargo definido quando entra no servidor ou seleciona uma opção no painel de cargos.</t>
  </si>
  <si>
    <t>Ao clicar no botão "Abrir Ticket", é criado um canal privado visível apenas para o utilizador e a equipa de staff.</t>
  </si>
  <si>
    <t>A equipa de staff consegue fechar e arquivar tickets sem perda de informação.</t>
  </si>
  <si>
    <t>O utilizador consegue preencher e submeter uma candidatura para a equipa de staff.</t>
  </si>
  <si>
    <t>O utilizador consegue preencher e submeter uma candidatura para um cargo whitelist.</t>
  </si>
  <si>
    <t>A equipa de staff consegue aprovar ou rejeitar candidaturas através de comandos ou botões.</t>
  </si>
  <si>
    <t>Todas as ações importantes (tickets, candidaturas, cargos) ficam registadas num canal de logs.</t>
  </si>
  <si>
    <t>Os dados permanecem guardados após reiniciar o bot.</t>
  </si>
  <si>
    <t>Os administradores conseguem configurar o bot através de comandos administrativos.</t>
  </si>
  <si>
    <t>O utilizador recebe uma mensagem de confirmação sempre que uma candidatura ou ticket sofre alterações..</t>
  </si>
  <si>
    <t>Gestão de Cargos</t>
  </si>
  <si>
    <t>Tickets</t>
  </si>
  <si>
    <t>Candidaturas</t>
  </si>
  <si>
    <t>Logs</t>
  </si>
  <si>
    <t>Base de Dados</t>
  </si>
  <si>
    <t>Notificações</t>
  </si>
  <si>
    <t>Apenas cargos configurados pelos administradores podem ser atribuídos automaticamente.</t>
  </si>
  <si>
    <t>Cada utilizador pode ter um número limitado de tickets abertos simultaneamente.</t>
  </si>
  <si>
    <t>Apenas membros da staff podem encerrar ou arquivar tickets.</t>
  </si>
  <si>
    <t>O formulário deve conter perguntas definidas pelos administradores.</t>
  </si>
  <si>
    <t>Cada candidatura deve ficar associada ao utilizador que a submeteu.</t>
  </si>
  <si>
    <t>Apenas utilizadores com permissões específicas podem aprovar ou rejeitar candidaturas.</t>
  </si>
  <si>
    <t>Os logs não devem poder ser alterados pelos utilizadores comuns.</t>
  </si>
  <si>
    <t>Os dados devem ser preservados após reinício do bot.</t>
  </si>
  <si>
    <t>O acesso deve estar restrito a administradores do servidor</t>
  </si>
  <si>
    <t>As notificações devem ser enviadas automaticamente sempre que ocorrer uma alteração relevante.</t>
  </si>
  <si>
    <t>Sistema / Cliente</t>
  </si>
  <si>
    <t>O sistema deverá funcionar corretamente nas versões desktop e móvel do Discord</t>
  </si>
  <si>
    <t>As funcionalidades principais podem ser utilizadas através da aplicação desktop e móvel do Discord</t>
  </si>
  <si>
    <t>Os comandos respondem em menos de 3 segundos em condições normais de utilização.</t>
  </si>
  <si>
    <t>Manutenção</t>
  </si>
  <si>
    <t>Auditoria</t>
  </si>
  <si>
    <t>Apenas utilizadores autorizados conseguem aceder a informações administrativas.</t>
  </si>
  <si>
    <t>Um novo utilizador consegue abrir um ticket ou candidatura sem necessitar de ajuda externa.</t>
  </si>
  <si>
    <t>O bot mantém-se operacional durante o período de avaliação do projeto.</t>
  </si>
  <si>
    <t>Novas funcionalidades podem ser adicionadas sem alterar a estrutura principal do sistema.</t>
  </si>
  <si>
    <t>Todas as ações importantes ficam registadas em canais de logs.</t>
  </si>
  <si>
    <t>Compatível com desktop e aplicação móvel Discord.</t>
  </si>
  <si>
    <t>Testar com vários utilizadores e tickets ativos.</t>
  </si>
  <si>
    <t>Utilizar permissões do Discord e validação de cargos.</t>
  </si>
  <si>
    <t>Interface simples com botões e menus.</t>
  </si>
  <si>
    <t>Recomendado alojamento contínuo.</t>
  </si>
  <si>
    <t>Projeto organizado por módulos (tickets, logs, cargos, etc.).</t>
  </si>
  <si>
    <t>Facilita auditoria e resolução de problemas.</t>
  </si>
  <si>
    <t>Integração com a base de dados MySQL do servidor</t>
  </si>
  <si>
    <t>Integração</t>
  </si>
  <si>
    <t>UFCD 5425 – Levantamento de Requisitos Funcionais (RF)   |   Projeto: Bot de Discord   |   Grupo: ___________</t>
  </si>
  <si>
    <t>Data: 29/07/2026    Versão: 1.1     Formador: Carlos Barata     Estado geral: Em curso</t>
  </si>
  <si>
    <t>Concluido</t>
  </si>
  <si>
    <t>Atualização automática do emprego (SetJob)</t>
  </si>
  <si>
    <t>Organizações</t>
  </si>
  <si>
    <t>O sistema deve comunicar diretamente com a base de dados do servidor de Roleplay para consultar e atualizar informações dos jogadores.</t>
  </si>
  <si>
    <t>Sempre que ocorrer uma alteração no Discord, a informação correspondente é sincronizada com a base de dados do servidor.</t>
  </si>
  <si>
    <t>O sistema deve atualizar automaticamente o emprego do jogador na base de dados quando este entrar ou sair de uma organização.</t>
  </si>
  <si>
    <t>Gestão automática de organizações</t>
  </si>
  <si>
    <t>Sistema WhitelistBlock persistente</t>
  </si>
  <si>
    <t>Painel para abandono voluntário de organização</t>
  </si>
  <si>
    <t>Após a operação, o novo emprego fica imediatamente refletido na base de dados.</t>
  </si>
  <si>
    <t>O sistema deve permitir gerir organizações através do Discord, incluindo entrada, saída e alteração de cargos.</t>
  </si>
  <si>
    <t>Todas as alterações efetuadas no Discord ficam sincronizadas com o servidor.</t>
  </si>
  <si>
    <t>O sistema deve guardar o estado WhitelistBlock na base de dados.</t>
  </si>
  <si>
    <t>Se o utilizador abandonar o servidor Discord e voltar a entrar, o cargo WhitelistBlock é novamente atribuído automaticamente.</t>
  </si>
  <si>
    <t>O sistema deve disponibilizar um painel onde o jogador pode abandonar voluntariamente a organização.</t>
  </si>
  <si>
    <t>O cargo da organização é removido, o cargo WhitelistBlock é atribuído e a base de dados é atualizada automaticamente.</t>
  </si>
  <si>
    <t>Projeto: Bot de Discord   |   Grupo: ___________   |   Data: 29/07/2026</t>
  </si>
  <si>
    <t>Em Curso</t>
  </si>
  <si>
    <t>Proteção de Credenciais</t>
  </si>
  <si>
    <t>Arquitetura Modular</t>
  </si>
  <si>
    <t>Proteção contra SQL Injection</t>
  </si>
  <si>
    <t>Persistência dos Dados</t>
  </si>
  <si>
    <t>Escalabilidade</t>
  </si>
  <si>
    <t>Sincronização Discord -Base de Dados</t>
  </si>
  <si>
    <t>UFCD 5425 – Levantamento de Requisitos Não Funcionais (RNF)   |   Projeto: Bot de Discord   |   Grupo: ___________</t>
  </si>
  <si>
    <t>O sistema deve proteger credenciais sensíveis (como o token do Discord), utilizando variáveis de ambiente e impedindo a sua exposição no código-fonte.</t>
  </si>
  <si>
    <t>O projeto deverá manter uma arquitetura em camadas (DAL/BLL), permitindo manutenção e expansão futuras.</t>
  </si>
  <si>
    <t>Todas as consultas às bases de dados deverão utilizar consultas parametrizadas.</t>
  </si>
  <si>
    <t>As configurações, estados dos utilizadores e informações administrativas devem permanecer disponíveis após reinícios da aplicação.</t>
  </si>
  <si>
    <t>A arquitetura deverá permitir adicionar novos módulos sem necessidade de reestruturar a aplicação.</t>
  </si>
  <si>
    <t>As alterações efetuadas no Discord devem ser refletidas automaticamente na base de dados do servidor e vice-versa, quando aplicável.</t>
  </si>
  <si>
    <t>O token do Discord e outras credenciais não ficam armazenados diretamente no código-fonte, sendo carregados através de um ficheiro .env e excluídos do repositório com .gitignore.</t>
  </si>
  <si>
    <t>A lógica da aplicação encontra-se organizada em camadas (Commands, BLL, DAL e Base de Dados), permitindo manutenção e expansão sem alterar outros módulos.</t>
  </si>
  <si>
    <t>Todas as operações sobre SQLite e MySQL utilizam consultas parametrizadas, impedindo a execução de código SQL malicioso.</t>
  </si>
  <si>
    <t>Configurações, estados dos utilizadores e registos administrativos permanecem disponíveis após o reinício da aplicação.</t>
  </si>
  <si>
    <t>É possível adicionar novos módulos (por exemplo, novas organizações ou sistemas administrativos) sem necessidade de reestruturar a aplicação.</t>
  </si>
  <si>
    <t>Sempre que ocorre uma alteração relevante no Discord (cargos, organizações ou WhitelistBlock), a informação correspondente é atualizada com sucesso na base de dados do servidor.</t>
  </si>
  <si>
    <t>Compatível com a estrutura da base de dados do servidor (ESX, QBCore ou outra framework).</t>
  </si>
  <si>
    <t>Apenas utilizadores autorizados podem alterar empregos.</t>
  </si>
  <si>
    <t>As alterações devem sincronizar o Discord e a base de dados do servidor.</t>
  </si>
  <si>
    <t>O estado deve permanecer registado mesmo após o utilizador sair e voltar ao servidor Discord.</t>
  </si>
  <si>
    <t>A operação deve ser executada automaticamente sem necessidade de intervenção da staff.</t>
  </si>
  <si>
    <t>Arquitetura</t>
  </si>
  <si>
    <t>Utilização de ficheiro .env, .gitignore e possibilidade de cifragem de dados sensíveis.</t>
  </si>
  <si>
    <t>Organização do projeto em Commands, Events, BLL, DAL e Database.</t>
  </si>
  <si>
    <t>Todas as consultas SQL deverão utilizar consultas parametrizadas.</t>
  </si>
  <si>
    <t>Configurações e estados dos utilizadores devem manter-se após reinícios da aplicação.</t>
  </si>
  <si>
    <t>A arquitetura deve permitir adicionar novas funcionalidades sem alterar as existentes.</t>
  </si>
  <si>
    <t>As alterações efetuadas no Discord devem refletir-se automaticamente na base de dados do servidor.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</si>
</sst>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9"/>
      <color rgb="FF004D26"/>
      <name val="Arial"/>
      <charset val="1"/>
    </font>
    <font>
      <b/>
      <sz val="10"/>
      <color rgb="FFFFFFFF"/>
      <name val="Arial"/>
      <charset val="1"/>
    </font>
    <font>
      <b/>
      <sz val="10"/>
      <color rgb="FF004D26"/>
      <name val="Arial"/>
      <charset val="1"/>
    </font>
    <font>
      <sz val="10"/>
      <color rgb="FF1A1A1A"/>
      <name val="Arial"/>
      <charset val="1"/>
    </font>
    <font>
      <b/>
      <sz val="10"/>
      <color rgb="FFB71C1C"/>
      <name val="Arial"/>
      <charset val="1"/>
    </font>
    <font>
      <sz val="10"/>
      <color rgb="FF555555"/>
      <name val="Arial"/>
      <charset val="1"/>
    </font>
    <font>
      <b/>
      <sz val="10"/>
      <color rgb="FFE65100"/>
      <name val="Arial"/>
      <charset val="1"/>
    </font>
    <font>
      <b/>
      <i/>
      <sz val="10"/>
      <color rgb="FF004D26"/>
      <name val="Arial"/>
      <charset val="1"/>
    </font>
    <font>
      <b/>
      <sz val="11"/>
      <color rgb="FFFFFFFF"/>
      <name val="Arial"/>
      <charset val="1"/>
    </font>
    <font>
      <i/>
      <sz val="9"/>
      <color rgb="FF555555"/>
      <name val="Arial"/>
      <charset val="1"/>
    </font>
    <font>
      <i/>
      <sz val="9"/>
      <color rgb="FF4A148C"/>
      <name val="Arial"/>
      <charset val="1"/>
    </font>
    <font>
      <b/>
      <sz val="10"/>
      <color rgb="FF4A148C"/>
      <name val="Arial"/>
      <charset val="1"/>
    </font>
    <font>
      <b/>
      <i/>
      <sz val="10"/>
      <color rgb="FF4A148C"/>
      <name val="Arial"/>
      <charset val="1"/>
    </font>
    <font>
      <b/>
      <sz val="14"/>
      <color rgb="FFFFFFFF"/>
      <name val="Arial"/>
      <charset val="1"/>
    </font>
    <font>
      <i/>
      <sz val="10"/>
      <color rgb="FF004D26"/>
      <name val="Arial"/>
      <charset val="1"/>
    </font>
    <font>
      <b/>
      <sz val="11"/>
      <color rgb="FF004D26"/>
      <name val="Arial"/>
      <charset val="1"/>
    </font>
    <font>
      <sz val="11"/>
      <color rgb="FF004D26"/>
      <name val="Arial"/>
      <charset val="1"/>
    </font>
    <font>
      <sz val="11"/>
      <color rgb="FF4A148C"/>
      <name val="Arial"/>
      <charset val="1"/>
    </font>
    <font>
      <sz val="10"/>
      <name val="Arial"/>
      <family val="2"/>
    </font>
    <font>
      <sz val="10"/>
      <color rgb="FF1A1A1A"/>
      <name val="Arial"/>
      <family val="2"/>
    </font>
    <font>
      <b/>
      <sz val="10"/>
      <color rgb="FF004D26"/>
      <name val="Arial"/>
      <family val="2"/>
    </font>
    <font>
      <i/>
      <sz val="10"/>
      <color rgb="FF004D26"/>
      <name val="Arial"/>
      <family val="2"/>
    </font>
    <font>
      <b/>
      <sz val="11"/>
      <color rgb="FF4A148C"/>
      <name val="Arial"/>
      <family val="2"/>
    </font>
    <font>
      <b/>
      <sz val="12"/>
      <color rgb="FFFFFFFF"/>
      <name val="Arial"/>
      <family val="2"/>
    </font>
    <font>
      <i/>
      <sz val="9"/>
      <color rgb="FF004D26"/>
      <name val="Arial"/>
      <family val="2"/>
    </font>
    <font>
      <sz val="10"/>
      <color rgb="FF555555"/>
      <name val="Arial"/>
      <family val="2"/>
    </font>
    <font>
      <i/>
      <sz val="9"/>
      <color rgb="FF4A148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4D26"/>
        <bgColor rgb="FF003300"/>
      </patternFill>
    </fill>
    <fill>
      <patternFill patternType="solid">
        <fgColor rgb="FFE8F5E9"/>
        <bgColor rgb="FFEEEEEE"/>
      </patternFill>
    </fill>
    <fill>
      <patternFill patternType="solid">
        <fgColor rgb="FFFFFFFF"/>
        <bgColor rgb="FFFAFAFA"/>
      </patternFill>
    </fill>
    <fill>
      <patternFill patternType="solid">
        <fgColor rgb="FFFFEBEE"/>
        <bgColor rgb="FFFFF3E0"/>
      </patternFill>
    </fill>
    <fill>
      <patternFill patternType="solid">
        <fgColor rgb="FFF5F5F5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3E0"/>
        <bgColor rgb="FFFFEBEE"/>
      </patternFill>
    </fill>
    <fill>
      <patternFill patternType="solid">
        <fgColor rgb="FF4A148C"/>
        <bgColor rgb="FF333399"/>
      </patternFill>
    </fill>
    <fill>
      <patternFill patternType="solid">
        <fgColor rgb="FFF3E5F5"/>
        <bgColor rgb="FFEEEEEE"/>
      </patternFill>
    </fill>
  </fills>
  <borders count="6">
    <border>
      <left/>
      <right/>
      <top/>
      <bottom/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dashed">
        <color rgb="FFEEEEEE"/>
      </left>
      <right style="dashed">
        <color rgb="FFEEEEEE"/>
      </right>
      <top style="dashed">
        <color rgb="FFEEEEEE"/>
      </top>
      <bottom style="dashed">
        <color rgb="FFEEEEEE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3" fillId="9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4" fillId="3" borderId="5" xfId="0" applyFont="1" applyFill="1" applyBorder="1" applyAlignment="1">
      <alignment horizontal="left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0" fillId="4" borderId="0" xfId="0" applyFill="1"/>
    <xf numFmtId="0" fontId="5" fillId="4" borderId="5" xfId="0" applyFont="1" applyFill="1" applyBorder="1" applyAlignment="1">
      <alignment horizontal="left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left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left" vertical="center" wrapText="1"/>
    </xf>
    <xf numFmtId="0" fontId="21" fillId="7" borderId="2" xfId="0" applyFont="1" applyFill="1" applyBorder="1" applyAlignment="1">
      <alignment horizontal="left" vertical="center" wrapText="1"/>
    </xf>
    <xf numFmtId="0" fontId="22" fillId="7" borderId="2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left" vertical="center" wrapText="1"/>
    </xf>
    <xf numFmtId="0" fontId="24" fillId="10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11" fillId="0" borderId="0" xfId="0" applyFont="1" applyAlignment="1">
      <alignment horizontal="left" vertical="center" wrapText="1"/>
    </xf>
    <xf numFmtId="0" fontId="1" fillId="9" borderId="0" xfId="0" applyFont="1" applyFill="1" applyAlignment="1">
      <alignment horizontal="left" vertical="center" wrapText="1"/>
    </xf>
    <xf numFmtId="0" fontId="12" fillId="10" borderId="0" xfId="0" applyFont="1" applyFill="1" applyAlignment="1">
      <alignment horizontal="left" vertical="center" wrapText="1"/>
    </xf>
    <xf numFmtId="0" fontId="3" fillId="9" borderId="4" xfId="0" applyFont="1" applyFill="1" applyBorder="1" applyAlignment="1">
      <alignment horizontal="right" vertical="center" wrapText="1"/>
    </xf>
    <xf numFmtId="0" fontId="15" fillId="2" borderId="0" xfId="0" applyFont="1" applyFill="1" applyAlignment="1">
      <alignment horizontal="left" vertical="center" wrapText="1"/>
    </xf>
    <xf numFmtId="0" fontId="23" fillId="3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25" fillId="2" borderId="0" xfId="0" applyFont="1" applyFill="1" applyAlignment="1">
      <alignment horizontal="left" vertical="center" wrapText="1"/>
    </xf>
    <xf numFmtId="0" fontId="26" fillId="3" borderId="0" xfId="0" applyFont="1" applyFill="1" applyAlignment="1">
      <alignment horizontal="left" vertical="center" wrapText="1"/>
    </xf>
    <xf numFmtId="0" fontId="27" fillId="6" borderId="2" xfId="0" applyFont="1" applyFill="1" applyBorder="1" applyAlignment="1">
      <alignment horizontal="center" vertical="center" wrapText="1"/>
    </xf>
    <xf numFmtId="0" fontId="25" fillId="9" borderId="0" xfId="0" applyFont="1" applyFill="1" applyAlignment="1">
      <alignment horizontal="left" vertical="center" wrapText="1"/>
    </xf>
    <xf numFmtId="0" fontId="28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E8F5E9"/>
      <rgbColor rgb="FF4A148C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F5F5F5"/>
      <rgbColor rgb="FFFFEBEE"/>
      <rgbColor rgb="FFFAFAFA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E65100"/>
      <rgbColor rgb="FF555555"/>
      <rgbColor rgb="FFAAAAAA"/>
      <rgbColor rgb="FF004D26"/>
      <rgbColor rgb="FF339966"/>
      <rgbColor rgb="FF003300"/>
      <rgbColor rgb="FF333300"/>
      <rgbColor rgb="FFB71C1C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2"/>
  <sheetViews>
    <sheetView showGridLines="0" zoomScaleNormal="100" workbookViewId="0">
      <pane ySplit="4" topLeftCell="A11" activePane="bottomLeft" state="frozen"/>
      <selection pane="bottomLeft" activeCell="N15" sqref="N15"/>
    </sheetView>
  </sheetViews>
  <sheetFormatPr defaultColWidth="8.7109375" defaultRowHeight="15"/>
  <cols>
    <col min="1" max="1" width="7" customWidth="1"/>
    <col min="2" max="2" width="24" customWidth="1"/>
    <col min="3" max="3" width="42" customWidth="1"/>
    <col min="4" max="4" width="16" customWidth="1"/>
    <col min="5" max="5" width="12" customWidth="1"/>
    <col min="6" max="6" width="13" customWidth="1"/>
    <col min="7" max="7" width="40.85546875" customWidth="1"/>
    <col min="8" max="8" width="28" customWidth="1"/>
    <col min="9" max="9" width="16" customWidth="1"/>
  </cols>
  <sheetData>
    <row r="1" spans="1:9" ht="25.5" customHeight="1">
      <c r="A1" s="48" t="s">
        <v>145</v>
      </c>
      <c r="B1" s="38"/>
      <c r="C1" s="38"/>
      <c r="D1" s="38"/>
      <c r="E1" s="38"/>
      <c r="F1" s="38"/>
      <c r="G1" s="38"/>
      <c r="H1" s="38"/>
      <c r="I1" s="38"/>
    </row>
    <row r="2" spans="1:9" ht="18" customHeight="1">
      <c r="A2" s="49" t="s">
        <v>146</v>
      </c>
      <c r="B2" s="39"/>
      <c r="C2" s="39"/>
      <c r="D2" s="39"/>
      <c r="E2" s="39"/>
      <c r="F2" s="39"/>
      <c r="G2" s="39"/>
      <c r="H2" s="39"/>
      <c r="I2" s="39"/>
    </row>
    <row r="3" spans="1:9" ht="6" customHeight="1"/>
    <row r="4" spans="1:9" ht="21.7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51">
      <c r="A5" s="2" t="s">
        <v>9</v>
      </c>
      <c r="B5" s="3" t="s">
        <v>70</v>
      </c>
      <c r="C5" s="3" t="s">
        <v>80</v>
      </c>
      <c r="D5" s="4" t="s">
        <v>10</v>
      </c>
      <c r="E5" s="5" t="s">
        <v>11</v>
      </c>
      <c r="F5" s="50" t="s">
        <v>164</v>
      </c>
      <c r="G5" s="30" t="s">
        <v>99</v>
      </c>
      <c r="H5" s="30" t="s">
        <v>115</v>
      </c>
      <c r="I5" s="29" t="s">
        <v>109</v>
      </c>
    </row>
    <row r="6" spans="1:9" ht="38.25">
      <c r="A6" s="7" t="s">
        <v>13</v>
      </c>
      <c r="B6" s="8" t="s">
        <v>71</v>
      </c>
      <c r="C6" s="8" t="s">
        <v>81</v>
      </c>
      <c r="D6" s="9" t="s">
        <v>14</v>
      </c>
      <c r="E6" s="5" t="s">
        <v>11</v>
      </c>
      <c r="F6" s="50" t="s">
        <v>147</v>
      </c>
      <c r="G6" s="31" t="s">
        <v>100</v>
      </c>
      <c r="H6" s="31" t="s">
        <v>116</v>
      </c>
      <c r="I6" s="33" t="s">
        <v>110</v>
      </c>
    </row>
    <row r="7" spans="1:9" ht="38.25">
      <c r="A7" s="2" t="s">
        <v>15</v>
      </c>
      <c r="B7" s="3" t="s">
        <v>72</v>
      </c>
      <c r="C7" s="3" t="s">
        <v>82</v>
      </c>
      <c r="D7" s="29" t="s">
        <v>21</v>
      </c>
      <c r="E7" s="5" t="s">
        <v>11</v>
      </c>
      <c r="F7" s="50" t="s">
        <v>147</v>
      </c>
      <c r="G7" s="30" t="s">
        <v>101</v>
      </c>
      <c r="H7" s="30" t="s">
        <v>117</v>
      </c>
      <c r="I7" s="29" t="s">
        <v>110</v>
      </c>
    </row>
    <row r="8" spans="1:9" ht="38.25">
      <c r="A8" s="32" t="s">
        <v>16</v>
      </c>
      <c r="B8" s="8" t="s">
        <v>73</v>
      </c>
      <c r="C8" s="8" t="s">
        <v>83</v>
      </c>
      <c r="D8" s="9" t="s">
        <v>10</v>
      </c>
      <c r="E8" s="5" t="s">
        <v>11</v>
      </c>
      <c r="F8" s="50" t="s">
        <v>147</v>
      </c>
      <c r="G8" s="31" t="s">
        <v>102</v>
      </c>
      <c r="H8" s="31" t="s">
        <v>118</v>
      </c>
      <c r="I8" s="33" t="s">
        <v>111</v>
      </c>
    </row>
    <row r="9" spans="1:9" ht="38.25">
      <c r="A9" s="2" t="s">
        <v>17</v>
      </c>
      <c r="B9" s="3" t="s">
        <v>74</v>
      </c>
      <c r="C9" s="3" t="s">
        <v>84</v>
      </c>
      <c r="D9" s="4" t="s">
        <v>10</v>
      </c>
      <c r="E9" s="5" t="s">
        <v>11</v>
      </c>
      <c r="F9" s="50" t="s">
        <v>164</v>
      </c>
      <c r="G9" s="30" t="s">
        <v>103</v>
      </c>
      <c r="H9" s="30" t="s">
        <v>119</v>
      </c>
      <c r="I9" s="29" t="s">
        <v>111</v>
      </c>
    </row>
    <row r="10" spans="1:9" ht="38.25">
      <c r="A10" s="7" t="s">
        <v>18</v>
      </c>
      <c r="B10" s="8" t="s">
        <v>75</v>
      </c>
      <c r="C10" s="8" t="s">
        <v>85</v>
      </c>
      <c r="D10" s="33" t="s">
        <v>21</v>
      </c>
      <c r="E10" s="5" t="s">
        <v>11</v>
      </c>
      <c r="F10" s="50" t="s">
        <v>164</v>
      </c>
      <c r="G10" s="31" t="s">
        <v>104</v>
      </c>
      <c r="H10" s="31" t="s">
        <v>120</v>
      </c>
      <c r="I10" s="33" t="s">
        <v>22</v>
      </c>
    </row>
    <row r="11" spans="1:9" ht="38.25">
      <c r="A11" s="2" t="s">
        <v>20</v>
      </c>
      <c r="B11" s="3" t="s">
        <v>76</v>
      </c>
      <c r="C11" s="3" t="s">
        <v>86</v>
      </c>
      <c r="D11" s="29" t="s">
        <v>21</v>
      </c>
      <c r="E11" s="5" t="s">
        <v>11</v>
      </c>
      <c r="F11" s="50" t="s">
        <v>164</v>
      </c>
      <c r="G11" s="30" t="s">
        <v>105</v>
      </c>
      <c r="H11" s="30" t="s">
        <v>121</v>
      </c>
      <c r="I11" s="29" t="s">
        <v>112</v>
      </c>
    </row>
    <row r="12" spans="1:9" ht="27.75" customHeight="1">
      <c r="A12" s="11" t="s">
        <v>23</v>
      </c>
      <c r="B12" s="3" t="s">
        <v>77</v>
      </c>
      <c r="C12" s="3" t="s">
        <v>87</v>
      </c>
      <c r="D12" s="34" t="s">
        <v>38</v>
      </c>
      <c r="E12" s="5" t="s">
        <v>11</v>
      </c>
      <c r="F12" s="50" t="s">
        <v>164</v>
      </c>
      <c r="G12" s="28" t="s">
        <v>106</v>
      </c>
      <c r="H12" s="28" t="s">
        <v>122</v>
      </c>
      <c r="I12" s="34" t="s">
        <v>113</v>
      </c>
    </row>
    <row r="13" spans="1:9" ht="25.5">
      <c r="A13" s="11" t="s">
        <v>24</v>
      </c>
      <c r="B13" s="3" t="s">
        <v>78</v>
      </c>
      <c r="C13" s="3" t="s">
        <v>88</v>
      </c>
      <c r="D13" s="35" t="s">
        <v>21</v>
      </c>
      <c r="E13" s="10" t="s">
        <v>19</v>
      </c>
      <c r="F13" s="50" t="s">
        <v>164</v>
      </c>
      <c r="G13" s="28" t="s">
        <v>107</v>
      </c>
      <c r="H13" s="36" t="s">
        <v>123</v>
      </c>
      <c r="I13" s="35" t="s">
        <v>22</v>
      </c>
    </row>
    <row r="14" spans="1:9" ht="51">
      <c r="A14" s="11" t="s">
        <v>25</v>
      </c>
      <c r="B14" s="3" t="s">
        <v>79</v>
      </c>
      <c r="C14" s="3" t="s">
        <v>89</v>
      </c>
      <c r="D14" s="34" t="s">
        <v>125</v>
      </c>
      <c r="E14" s="10" t="s">
        <v>19</v>
      </c>
      <c r="F14" s="50" t="s">
        <v>164</v>
      </c>
      <c r="G14" s="28" t="s">
        <v>108</v>
      </c>
      <c r="H14" s="28" t="s">
        <v>124</v>
      </c>
      <c r="I14" s="34" t="s">
        <v>114</v>
      </c>
    </row>
    <row r="15" spans="1:9" ht="63" customHeight="1">
      <c r="A15" s="11" t="s">
        <v>26</v>
      </c>
      <c r="B15" s="36" t="s">
        <v>143</v>
      </c>
      <c r="C15" s="36" t="s">
        <v>150</v>
      </c>
      <c r="D15" s="34" t="s">
        <v>38</v>
      </c>
      <c r="E15" s="5" t="s">
        <v>11</v>
      </c>
      <c r="F15" s="6" t="s">
        <v>12</v>
      </c>
      <c r="G15" s="36" t="s">
        <v>151</v>
      </c>
      <c r="H15" s="36" t="s">
        <v>184</v>
      </c>
      <c r="I15" s="35" t="s">
        <v>144</v>
      </c>
    </row>
    <row r="16" spans="1:9" ht="45" customHeight="1">
      <c r="A16" s="11" t="s">
        <v>27</v>
      </c>
      <c r="B16" s="28" t="s">
        <v>148</v>
      </c>
      <c r="C16" s="28" t="s">
        <v>152</v>
      </c>
      <c r="D16" s="34" t="s">
        <v>38</v>
      </c>
      <c r="E16" s="5" t="s">
        <v>11</v>
      </c>
      <c r="F16" s="50" t="s">
        <v>12</v>
      </c>
      <c r="G16" s="28" t="s">
        <v>156</v>
      </c>
      <c r="H16" s="28" t="s">
        <v>185</v>
      </c>
      <c r="I16" s="34" t="s">
        <v>149</v>
      </c>
    </row>
    <row r="17" spans="1:9" ht="38.25">
      <c r="A17" s="11" t="s">
        <v>28</v>
      </c>
      <c r="B17" s="36" t="s">
        <v>153</v>
      </c>
      <c r="C17" s="36" t="s">
        <v>157</v>
      </c>
      <c r="D17" s="34" t="s">
        <v>125</v>
      </c>
      <c r="E17" s="5" t="s">
        <v>11</v>
      </c>
      <c r="F17" s="6" t="s">
        <v>12</v>
      </c>
      <c r="G17" s="36" t="s">
        <v>158</v>
      </c>
      <c r="H17" s="36" t="s">
        <v>186</v>
      </c>
      <c r="I17" s="35" t="s">
        <v>149</v>
      </c>
    </row>
    <row r="18" spans="1:9" ht="63.75" customHeight="1">
      <c r="A18" s="11" t="s">
        <v>29</v>
      </c>
      <c r="B18" s="28" t="s">
        <v>154</v>
      </c>
      <c r="C18" s="28" t="s">
        <v>159</v>
      </c>
      <c r="D18" s="34" t="s">
        <v>38</v>
      </c>
      <c r="E18" s="5" t="s">
        <v>11</v>
      </c>
      <c r="F18" s="6" t="s">
        <v>12</v>
      </c>
      <c r="G18" s="28" t="s">
        <v>160</v>
      </c>
      <c r="H18" s="28" t="s">
        <v>187</v>
      </c>
      <c r="I18" s="34" t="s">
        <v>39</v>
      </c>
    </row>
    <row r="19" spans="1:9" ht="60.75" customHeight="1">
      <c r="A19" s="11" t="s">
        <v>30</v>
      </c>
      <c r="B19" s="36" t="s">
        <v>155</v>
      </c>
      <c r="C19" s="36" t="s">
        <v>161</v>
      </c>
      <c r="D19" s="29" t="s">
        <v>10</v>
      </c>
      <c r="E19" s="10" t="s">
        <v>19</v>
      </c>
      <c r="F19" s="6" t="s">
        <v>12</v>
      </c>
      <c r="G19" s="36" t="s">
        <v>162</v>
      </c>
      <c r="H19" s="36" t="s">
        <v>188</v>
      </c>
      <c r="I19" s="35" t="s">
        <v>149</v>
      </c>
    </row>
    <row r="20" spans="1:9" ht="19.5" customHeight="1">
      <c r="A20" s="40" t="s">
        <v>31</v>
      </c>
      <c r="B20" s="40"/>
      <c r="C20" s="40"/>
      <c r="D20" s="40"/>
      <c r="E20" s="12">
        <f>COUNTA(A5:A19)</f>
        <v>15</v>
      </c>
      <c r="F20" s="13"/>
      <c r="G20" s="13"/>
      <c r="H20" s="13"/>
      <c r="I20" s="13"/>
    </row>
    <row r="22" spans="1:9" ht="18" customHeight="1">
      <c r="A22" s="41" t="s">
        <v>32</v>
      </c>
      <c r="B22" s="41"/>
      <c r="C22" s="41"/>
      <c r="D22" s="41"/>
      <c r="E22" s="41"/>
      <c r="F22" s="41"/>
      <c r="G22" s="41"/>
      <c r="H22" s="41"/>
      <c r="I22" s="41"/>
    </row>
  </sheetData>
  <mergeCells count="4">
    <mergeCell ref="A1:I1"/>
    <mergeCell ref="A2:I2"/>
    <mergeCell ref="A20:D20"/>
    <mergeCell ref="A22:I22"/>
  </mergeCells>
  <dataValidations count="2">
    <dataValidation type="list" sqref="E5:E19">
      <formula1>"Alta,Média,Baixa"</formula1>
      <formula2>0</formula2>
    </dataValidation>
    <dataValidation type="list" sqref="F5:F19">
      <formula1>"Pendente,Em curso,Concluído,Cancelado"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0"/>
  <sheetViews>
    <sheetView showGridLines="0" tabSelected="1" zoomScaleNormal="100" workbookViewId="0">
      <pane ySplit="4" topLeftCell="A5" activePane="bottomLeft" state="frozen"/>
      <selection pane="bottomLeft" activeCell="M19" sqref="M19"/>
    </sheetView>
  </sheetViews>
  <sheetFormatPr defaultColWidth="8.7109375" defaultRowHeight="15"/>
  <cols>
    <col min="1" max="1" width="7" customWidth="1"/>
    <col min="2" max="2" width="24" customWidth="1"/>
    <col min="3" max="3" width="42" customWidth="1"/>
    <col min="4" max="4" width="16" customWidth="1"/>
    <col min="5" max="5" width="12" customWidth="1"/>
    <col min="6" max="6" width="13" customWidth="1"/>
    <col min="7" max="7" width="48.7109375" customWidth="1"/>
    <col min="8" max="8" width="28" customWidth="1"/>
    <col min="9" max="9" width="16" customWidth="1"/>
  </cols>
  <sheetData>
    <row r="1" spans="1:9" ht="25.5" customHeight="1">
      <c r="A1" s="51" t="s">
        <v>171</v>
      </c>
      <c r="B1" s="42"/>
      <c r="C1" s="42"/>
      <c r="D1" s="42"/>
      <c r="E1" s="42"/>
      <c r="F1" s="42"/>
      <c r="G1" s="42"/>
      <c r="H1" s="42"/>
      <c r="I1" s="42"/>
    </row>
    <row r="2" spans="1:9" ht="18" customHeight="1">
      <c r="A2" s="52" t="s">
        <v>146</v>
      </c>
      <c r="B2" s="43"/>
      <c r="C2" s="43"/>
      <c r="D2" s="43"/>
      <c r="E2" s="43"/>
      <c r="F2" s="43"/>
      <c r="G2" s="43"/>
      <c r="H2" s="43"/>
      <c r="I2" s="43"/>
    </row>
    <row r="3" spans="1:9" ht="6" customHeight="1"/>
    <row r="4" spans="1:9" ht="21.75" customHeight="1">
      <c r="A4" s="14" t="s">
        <v>0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8</v>
      </c>
    </row>
    <row r="5" spans="1:9" ht="38.25">
      <c r="A5" s="15" t="s">
        <v>33</v>
      </c>
      <c r="B5" s="3" t="s">
        <v>34</v>
      </c>
      <c r="C5" s="3" t="s">
        <v>91</v>
      </c>
      <c r="D5" s="4" t="s">
        <v>35</v>
      </c>
      <c r="E5" s="5" t="s">
        <v>11</v>
      </c>
      <c r="F5" s="50" t="s">
        <v>164</v>
      </c>
      <c r="G5" s="30" t="s">
        <v>128</v>
      </c>
      <c r="H5" s="30" t="s">
        <v>137</v>
      </c>
      <c r="I5" s="4" t="s">
        <v>36</v>
      </c>
    </row>
    <row r="6" spans="1:9" ht="25.5">
      <c r="A6" s="16" t="s">
        <v>37</v>
      </c>
      <c r="B6" s="8" t="s">
        <v>90</v>
      </c>
      <c r="C6" s="8" t="s">
        <v>94</v>
      </c>
      <c r="D6" s="9" t="s">
        <v>38</v>
      </c>
      <c r="E6" s="5" t="s">
        <v>11</v>
      </c>
      <c r="F6" s="50" t="s">
        <v>164</v>
      </c>
      <c r="G6" s="31" t="s">
        <v>131</v>
      </c>
      <c r="H6" s="31" t="s">
        <v>138</v>
      </c>
      <c r="I6" s="9" t="s">
        <v>39</v>
      </c>
    </row>
    <row r="7" spans="1:9" ht="25.5">
      <c r="A7" s="15" t="s">
        <v>40</v>
      </c>
      <c r="B7" s="3" t="s">
        <v>41</v>
      </c>
      <c r="C7" s="3" t="s">
        <v>93</v>
      </c>
      <c r="D7" s="4" t="s">
        <v>10</v>
      </c>
      <c r="E7" s="5" t="s">
        <v>11</v>
      </c>
      <c r="F7" s="50" t="s">
        <v>164</v>
      </c>
      <c r="G7" s="30" t="s">
        <v>132</v>
      </c>
      <c r="H7" s="30" t="s">
        <v>139</v>
      </c>
      <c r="I7" s="4" t="s">
        <v>42</v>
      </c>
    </row>
    <row r="8" spans="1:9" ht="30" customHeight="1">
      <c r="A8" s="16" t="s">
        <v>43</v>
      </c>
      <c r="B8" s="8" t="s">
        <v>44</v>
      </c>
      <c r="C8" s="8" t="s">
        <v>92</v>
      </c>
      <c r="D8" s="9" t="s">
        <v>35</v>
      </c>
      <c r="E8" s="10" t="s">
        <v>19</v>
      </c>
      <c r="F8" s="50" t="s">
        <v>164</v>
      </c>
      <c r="G8" s="31" t="s">
        <v>133</v>
      </c>
      <c r="H8" s="31" t="s">
        <v>140</v>
      </c>
      <c r="I8" s="9" t="s">
        <v>45</v>
      </c>
    </row>
    <row r="9" spans="1:9" ht="30" customHeight="1">
      <c r="A9" s="15" t="s">
        <v>46</v>
      </c>
      <c r="B9" s="3" t="s">
        <v>47</v>
      </c>
      <c r="C9" s="30" t="s">
        <v>126</v>
      </c>
      <c r="D9" s="4" t="s">
        <v>35</v>
      </c>
      <c r="E9" s="17" t="s">
        <v>48</v>
      </c>
      <c r="F9" s="50" t="s">
        <v>164</v>
      </c>
      <c r="G9" s="30" t="s">
        <v>127</v>
      </c>
      <c r="H9" s="30" t="s">
        <v>136</v>
      </c>
      <c r="I9" s="4" t="s">
        <v>47</v>
      </c>
    </row>
    <row r="10" spans="1:9" ht="27.75" customHeight="1">
      <c r="A10" s="18" t="s">
        <v>49</v>
      </c>
      <c r="B10" s="3" t="s">
        <v>95</v>
      </c>
      <c r="C10" s="30" t="s">
        <v>97</v>
      </c>
      <c r="D10" s="34" t="s">
        <v>21</v>
      </c>
      <c r="E10" s="10" t="s">
        <v>19</v>
      </c>
      <c r="F10" s="50" t="s">
        <v>164</v>
      </c>
      <c r="G10" s="28" t="s">
        <v>134</v>
      </c>
      <c r="H10" s="28" t="s">
        <v>141</v>
      </c>
      <c r="I10" s="34" t="s">
        <v>129</v>
      </c>
    </row>
    <row r="11" spans="1:9" ht="30.75" customHeight="1">
      <c r="A11" s="18" t="s">
        <v>50</v>
      </c>
      <c r="B11" s="3" t="s">
        <v>96</v>
      </c>
      <c r="C11" s="3" t="s">
        <v>98</v>
      </c>
      <c r="D11" s="35" t="s">
        <v>21</v>
      </c>
      <c r="E11" s="10" t="s">
        <v>19</v>
      </c>
      <c r="F11" s="50" t="s">
        <v>164</v>
      </c>
      <c r="G11" s="36" t="s">
        <v>135</v>
      </c>
      <c r="H11" s="36" t="s">
        <v>142</v>
      </c>
      <c r="I11" s="35" t="s">
        <v>130</v>
      </c>
    </row>
    <row r="12" spans="1:9" ht="56.25" customHeight="1">
      <c r="A12" s="18" t="s">
        <v>51</v>
      </c>
      <c r="B12" s="28" t="s">
        <v>165</v>
      </c>
      <c r="C12" s="28" t="s">
        <v>172</v>
      </c>
      <c r="D12" s="34" t="s">
        <v>38</v>
      </c>
      <c r="E12" s="5" t="s">
        <v>11</v>
      </c>
      <c r="F12" s="6" t="s">
        <v>12</v>
      </c>
      <c r="G12" s="28" t="s">
        <v>178</v>
      </c>
      <c r="H12" s="28" t="s">
        <v>190</v>
      </c>
      <c r="I12" s="34" t="s">
        <v>39</v>
      </c>
    </row>
    <row r="13" spans="1:9" ht="65.25" customHeight="1">
      <c r="A13" s="18" t="s">
        <v>52</v>
      </c>
      <c r="B13" s="36" t="s">
        <v>166</v>
      </c>
      <c r="C13" s="36" t="s">
        <v>173</v>
      </c>
      <c r="D13" s="34" t="s">
        <v>21</v>
      </c>
      <c r="E13" s="5" t="s">
        <v>11</v>
      </c>
      <c r="F13" s="6" t="s">
        <v>12</v>
      </c>
      <c r="G13" s="36" t="s">
        <v>179</v>
      </c>
      <c r="H13" s="36" t="s">
        <v>191</v>
      </c>
      <c r="I13" s="35" t="s">
        <v>189</v>
      </c>
    </row>
    <row r="14" spans="1:9" ht="53.25" customHeight="1">
      <c r="A14" s="18" t="s">
        <v>53</v>
      </c>
      <c r="B14" s="28" t="s">
        <v>167</v>
      </c>
      <c r="C14" s="28" t="s">
        <v>174</v>
      </c>
      <c r="D14" s="34" t="s">
        <v>38</v>
      </c>
      <c r="E14" s="5" t="s">
        <v>11</v>
      </c>
      <c r="F14" s="6" t="s">
        <v>12</v>
      </c>
      <c r="G14" s="28" t="s">
        <v>180</v>
      </c>
      <c r="H14" s="28" t="s">
        <v>192</v>
      </c>
      <c r="I14" s="34" t="s">
        <v>113</v>
      </c>
    </row>
    <row r="15" spans="1:9" ht="56.25" customHeight="1">
      <c r="A15" s="18" t="s">
        <v>54</v>
      </c>
      <c r="B15" s="36" t="s">
        <v>168</v>
      </c>
      <c r="C15" s="36" t="s">
        <v>175</v>
      </c>
      <c r="D15" s="34" t="s">
        <v>38</v>
      </c>
      <c r="E15" s="5" t="s">
        <v>11</v>
      </c>
      <c r="F15" s="6" t="s">
        <v>12</v>
      </c>
      <c r="G15" s="36" t="s">
        <v>181</v>
      </c>
      <c r="H15" s="36" t="s">
        <v>193</v>
      </c>
      <c r="I15" s="35" t="s">
        <v>113</v>
      </c>
    </row>
    <row r="16" spans="1:9" ht="48.75" customHeight="1">
      <c r="A16" s="18" t="s">
        <v>55</v>
      </c>
      <c r="B16" s="28" t="s">
        <v>169</v>
      </c>
      <c r="C16" s="28" t="s">
        <v>176</v>
      </c>
      <c r="D16" s="34" t="s">
        <v>21</v>
      </c>
      <c r="E16" s="10" t="s">
        <v>19</v>
      </c>
      <c r="F16" s="6" t="s">
        <v>12</v>
      </c>
      <c r="G16" s="28" t="s">
        <v>182</v>
      </c>
      <c r="H16" s="28" t="s">
        <v>194</v>
      </c>
      <c r="I16" s="34" t="s">
        <v>129</v>
      </c>
    </row>
    <row r="17" spans="1:9" ht="57" customHeight="1">
      <c r="A17" s="18" t="s">
        <v>56</v>
      </c>
      <c r="B17" s="36" t="s">
        <v>170</v>
      </c>
      <c r="C17" s="36" t="s">
        <v>177</v>
      </c>
      <c r="D17" s="34" t="s">
        <v>38</v>
      </c>
      <c r="E17" s="5" t="s">
        <v>11</v>
      </c>
      <c r="F17" s="6" t="s">
        <v>12</v>
      </c>
      <c r="G17" s="36" t="s">
        <v>183</v>
      </c>
      <c r="H17" s="36" t="s">
        <v>195</v>
      </c>
      <c r="I17" s="35" t="s">
        <v>144</v>
      </c>
    </row>
    <row r="18" spans="1:9" ht="19.5" customHeight="1">
      <c r="A18" s="44" t="s">
        <v>57</v>
      </c>
      <c r="B18" s="44"/>
      <c r="C18" s="44"/>
      <c r="D18" s="44"/>
      <c r="E18" s="19">
        <f>COUNTA(A5:A17)</f>
        <v>13</v>
      </c>
      <c r="F18" s="20"/>
      <c r="G18" s="20"/>
      <c r="H18" s="20"/>
      <c r="I18" s="20"/>
    </row>
    <row r="20" spans="1:9" ht="18" customHeight="1">
      <c r="A20" s="41" t="s">
        <v>32</v>
      </c>
      <c r="B20" s="41"/>
      <c r="C20" s="41"/>
      <c r="D20" s="41"/>
      <c r="E20" s="41"/>
      <c r="F20" s="41"/>
      <c r="G20" s="41"/>
      <c r="H20" s="41"/>
      <c r="I20" s="41"/>
    </row>
  </sheetData>
  <mergeCells count="4">
    <mergeCell ref="A1:I1"/>
    <mergeCell ref="A2:I2"/>
    <mergeCell ref="A18:D18"/>
    <mergeCell ref="A20:I20"/>
  </mergeCells>
  <dataValidations count="2">
    <dataValidation type="list" sqref="E5:E17">
      <formula1>"Alta,Média,Baixa"</formula1>
      <formula2>0</formula2>
    </dataValidation>
    <dataValidation type="list" sqref="F5:F17">
      <formula1>"Pendente,Em curso,Concluído,Cancelado"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showGridLines="0" zoomScaleNormal="100" workbookViewId="0">
      <selection activeCell="I13" sqref="I13"/>
    </sheetView>
  </sheetViews>
  <sheetFormatPr defaultColWidth="8.7109375" defaultRowHeight="15"/>
  <cols>
    <col min="1" max="1" width="30" customWidth="1"/>
    <col min="2" max="5" width="18" customWidth="1"/>
  </cols>
  <sheetData>
    <row r="1" spans="1:5" ht="30" customHeight="1">
      <c r="A1" s="45" t="s">
        <v>58</v>
      </c>
      <c r="B1" s="45"/>
      <c r="C1" s="45"/>
      <c r="D1" s="45"/>
      <c r="E1" s="45"/>
    </row>
    <row r="2" spans="1:5" ht="18" customHeight="1">
      <c r="A2" s="46" t="s">
        <v>163</v>
      </c>
      <c r="B2" s="47"/>
      <c r="C2" s="47"/>
      <c r="D2" s="47"/>
      <c r="E2" s="47"/>
    </row>
    <row r="3" spans="1:5" ht="9.75" customHeight="1"/>
    <row r="4" spans="1:5" ht="25.5">
      <c r="A4" s="1" t="s">
        <v>59</v>
      </c>
      <c r="B4" s="1" t="s">
        <v>60</v>
      </c>
      <c r="C4" s="1" t="s">
        <v>61</v>
      </c>
      <c r="D4" s="1" t="s">
        <v>62</v>
      </c>
      <c r="E4" s="1"/>
    </row>
    <row r="5" spans="1:5" ht="21.75" customHeight="1">
      <c r="A5" s="21" t="s">
        <v>63</v>
      </c>
      <c r="B5" s="22">
        <v>15</v>
      </c>
      <c r="C5" s="37">
        <v>13</v>
      </c>
      <c r="D5" s="22">
        <f>B5+C5</f>
        <v>28</v>
      </c>
      <c r="E5" s="23"/>
    </row>
    <row r="6" spans="1:5" ht="21.75" customHeight="1">
      <c r="A6" s="24" t="s">
        <v>64</v>
      </c>
      <c r="B6" s="25">
        <v>12</v>
      </c>
      <c r="C6" s="26">
        <v>8</v>
      </c>
      <c r="D6" s="27">
        <f t="shared" ref="D6:D11" si="0">B6+C6</f>
        <v>20</v>
      </c>
      <c r="E6" s="23"/>
    </row>
    <row r="7" spans="1:5" ht="21.75" customHeight="1">
      <c r="A7" s="24" t="s">
        <v>65</v>
      </c>
      <c r="B7" s="25">
        <f>COUNTIF('Req. Funcionais (RF)'!E5:E19,"Média")</f>
        <v>3</v>
      </c>
      <c r="C7" s="26">
        <v>4</v>
      </c>
      <c r="D7" s="27">
        <f t="shared" si="0"/>
        <v>7</v>
      </c>
      <c r="E7" s="23"/>
    </row>
    <row r="8" spans="1:5" ht="21.75" customHeight="1">
      <c r="A8" s="24" t="s">
        <v>66</v>
      </c>
      <c r="B8" s="25">
        <f>COUNTIF('Req. Funcionais (RF)'!E5:E19,"Baixa")</f>
        <v>0</v>
      </c>
      <c r="C8" s="26">
        <f>COUNTIF('Req. Não Funcionais (RNF)'!E5:E14,"Baixa")</f>
        <v>1</v>
      </c>
      <c r="D8" s="27">
        <f t="shared" si="0"/>
        <v>1</v>
      </c>
      <c r="E8" s="23"/>
    </row>
    <row r="9" spans="1:5" ht="21.75" customHeight="1">
      <c r="A9" s="24" t="s">
        <v>67</v>
      </c>
      <c r="B9" s="25">
        <v>3</v>
      </c>
      <c r="C9" s="26">
        <f>COUNTIF('Req. Não Funcionais (RNF)'!F5:F14,"Concluído")</f>
        <v>0</v>
      </c>
      <c r="D9" s="27">
        <f t="shared" si="0"/>
        <v>3</v>
      </c>
      <c r="E9" s="23"/>
    </row>
    <row r="10" spans="1:5" ht="21.75" customHeight="1">
      <c r="A10" s="24" t="s">
        <v>68</v>
      </c>
      <c r="B10" s="25">
        <f>COUNTIF('Req. Funcionais (RF)'!F5:F19,"Pendente")</f>
        <v>5</v>
      </c>
      <c r="C10" s="26">
        <v>6</v>
      </c>
      <c r="D10" s="27">
        <f t="shared" si="0"/>
        <v>11</v>
      </c>
      <c r="E10" s="23"/>
    </row>
    <row r="11" spans="1:5" ht="21.75" customHeight="1">
      <c r="A11" s="24" t="s">
        <v>69</v>
      </c>
      <c r="B11" s="25">
        <v>7</v>
      </c>
      <c r="C11" s="26">
        <f>COUNTIF('Req. Não Funcionais (RNF)'!F5:F14,"Em curso")</f>
        <v>7</v>
      </c>
      <c r="D11" s="27">
        <f t="shared" si="0"/>
        <v>14</v>
      </c>
      <c r="E11" s="23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</vt:i4>
      </vt:variant>
    </vt:vector>
  </HeadingPairs>
  <TitlesOfParts>
    <vt:vector size="5" baseType="lpstr">
      <vt:lpstr>Req. Funcionais (RF)</vt:lpstr>
      <vt:lpstr>Req. Não Funcionais (RNF)</vt:lpstr>
      <vt:lpstr>Resumo</vt:lpstr>
      <vt:lpstr>'Req. Funcionais (RF)'!Títulos_de_Impressão</vt:lpstr>
      <vt:lpstr>'Req. Não Funcionais (RNF)'!Títulos_de_Impressão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Barata</dc:creator>
  <cp:lastModifiedBy>Utilizador do Windows</cp:lastModifiedBy>
  <cp:revision>0</cp:revision>
  <dcterms:created xsi:type="dcterms:W3CDTF">2026-06-01T18:35:13Z</dcterms:created>
  <dcterms:modified xsi:type="dcterms:W3CDTF">2026-07-29T12:16:19Z</dcterms:modified>
  <dc:language>en-US</dc:language>
</cp:coreProperties>
</file>